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Local Multivariate Dist Oversampling\Results tables new\"/>
    </mc:Choice>
  </mc:AlternateContent>
  <xr:revisionPtr revIDLastSave="0" documentId="13_ncr:1_{98F96B0A-E375-423F-B161-3F3CDC65A054}" xr6:coauthVersionLast="47" xr6:coauthVersionMax="47" xr10:uidLastSave="{00000000-0000-0000-0000-000000000000}"/>
  <bookViews>
    <workbookView xWindow="28680" yWindow="-120" windowWidth="29040" windowHeight="15720" firstSheet="1" activeTab="5" xr2:uid="{00000000-000D-0000-FFFF-FFFF00000000}"/>
  </bookViews>
  <sheets>
    <sheet name="AUC dataset" sheetId="1" r:id="rId1"/>
    <sheet name="BACC dataset" sheetId="3" r:id="rId2"/>
    <sheet name="GMEAN dataset" sheetId="4" r:id="rId3"/>
    <sheet name="Runtime dataset" sheetId="9" r:id="rId4"/>
    <sheet name="Total Classifier rank table" sheetId="7" r:id="rId5"/>
    <sheet name="statistical tests" sheetId="8" r:id="rId6"/>
    <sheet name="Dataset info" sheetId="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65" i="8" l="1"/>
  <c r="AA65" i="8"/>
  <c r="AB65" i="8"/>
  <c r="AC65" i="8"/>
  <c r="AD65" i="8"/>
  <c r="AE65" i="8"/>
  <c r="AF65" i="8"/>
  <c r="AG65" i="8"/>
  <c r="AH65" i="8"/>
  <c r="AI65" i="8"/>
  <c r="AJ65" i="8"/>
  <c r="Z66" i="8"/>
  <c r="AA66" i="8"/>
  <c r="AB66" i="8"/>
  <c r="AC66" i="8"/>
  <c r="AD66" i="8"/>
  <c r="AE66" i="8"/>
  <c r="AF66" i="8"/>
  <c r="AG66" i="8"/>
  <c r="AH66" i="8"/>
  <c r="AI66" i="8"/>
  <c r="AJ66" i="8"/>
  <c r="Z67" i="8"/>
  <c r="AA67" i="8"/>
  <c r="AB67" i="8"/>
  <c r="AC67" i="8"/>
  <c r="AD67" i="8"/>
  <c r="AE67" i="8"/>
  <c r="AF67" i="8"/>
  <c r="AG67" i="8"/>
  <c r="AH67" i="8"/>
  <c r="AI67" i="8"/>
  <c r="AJ67" i="8"/>
  <c r="Z68" i="8"/>
  <c r="AA68" i="8"/>
  <c r="AB68" i="8"/>
  <c r="AC68" i="8"/>
  <c r="AD68" i="8"/>
  <c r="AE68" i="8"/>
  <c r="AF68" i="8"/>
  <c r="AG68" i="8"/>
  <c r="AH68" i="8"/>
  <c r="AI68" i="8"/>
  <c r="AJ68" i="8"/>
  <c r="Z69" i="8"/>
  <c r="AA69" i="8"/>
  <c r="AB69" i="8"/>
  <c r="AC69" i="8"/>
  <c r="AD69" i="8"/>
  <c r="AE69" i="8"/>
  <c r="AF69" i="8"/>
  <c r="AG69" i="8"/>
  <c r="AH69" i="8"/>
  <c r="AI69" i="8"/>
  <c r="AJ69" i="8"/>
  <c r="Z70" i="8"/>
  <c r="AA70" i="8"/>
  <c r="AB70" i="8"/>
  <c r="AC70" i="8"/>
  <c r="AD70" i="8"/>
  <c r="AE70" i="8"/>
  <c r="AF70" i="8"/>
  <c r="AG70" i="8"/>
  <c r="AH70" i="8"/>
  <c r="AI70" i="8"/>
  <c r="AJ70" i="8"/>
  <c r="Z71" i="8"/>
  <c r="AA71" i="8"/>
  <c r="AB71" i="8"/>
  <c r="AC71" i="8"/>
  <c r="AD71" i="8"/>
  <c r="AE71" i="8"/>
  <c r="AF71" i="8"/>
  <c r="AG71" i="8"/>
  <c r="AH71" i="8"/>
  <c r="AI71" i="8"/>
  <c r="AJ71" i="8"/>
  <c r="Z72" i="8"/>
  <c r="AA72" i="8"/>
  <c r="AB72" i="8"/>
  <c r="AC72" i="8"/>
  <c r="AD72" i="8"/>
  <c r="AE72" i="8"/>
  <c r="AF72" i="8"/>
  <c r="AG72" i="8"/>
  <c r="AH72" i="8"/>
  <c r="AI72" i="8"/>
  <c r="AJ72" i="8"/>
  <c r="Z73" i="8"/>
  <c r="AA73" i="8"/>
  <c r="AB73" i="8"/>
  <c r="AC73" i="8"/>
  <c r="AD73" i="8"/>
  <c r="AE73" i="8"/>
  <c r="AF73" i="8"/>
  <c r="AG73" i="8"/>
  <c r="AH73" i="8"/>
  <c r="AI73" i="8"/>
  <c r="AJ73" i="8"/>
  <c r="Z74" i="8"/>
  <c r="AA74" i="8"/>
  <c r="AB74" i="8"/>
  <c r="AC74" i="8"/>
  <c r="AD74" i="8"/>
  <c r="AE74" i="8"/>
  <c r="AF74" i="8"/>
  <c r="AG74" i="8"/>
  <c r="AH74" i="8"/>
  <c r="AI74" i="8"/>
  <c r="AJ74" i="8"/>
  <c r="Z75" i="8"/>
  <c r="AA75" i="8"/>
  <c r="AB75" i="8"/>
  <c r="AC75" i="8"/>
  <c r="AD75" i="8"/>
  <c r="AE75" i="8"/>
  <c r="AF75" i="8"/>
  <c r="AG75" i="8"/>
  <c r="AH75" i="8"/>
  <c r="AI75" i="8"/>
  <c r="AJ75" i="8"/>
  <c r="Z76" i="8"/>
  <c r="AA76" i="8"/>
  <c r="AB76" i="8"/>
  <c r="AC76" i="8"/>
  <c r="AD76" i="8"/>
  <c r="AE76" i="8"/>
  <c r="AF76" i="8"/>
  <c r="AG76" i="8"/>
  <c r="AH76" i="8"/>
  <c r="AI76" i="8"/>
  <c r="AJ76" i="8"/>
  <c r="Z77" i="8"/>
  <c r="AA77" i="8"/>
  <c r="AB77" i="8"/>
  <c r="AC77" i="8"/>
  <c r="AD77" i="8"/>
  <c r="AE77" i="8"/>
  <c r="AF77" i="8"/>
  <c r="AG77" i="8"/>
  <c r="AH77" i="8"/>
  <c r="AI77" i="8"/>
  <c r="AJ77" i="8"/>
  <c r="Z78" i="8"/>
  <c r="AA78" i="8"/>
  <c r="AB78" i="8"/>
  <c r="AC78" i="8"/>
  <c r="AD78" i="8"/>
  <c r="AE78" i="8"/>
  <c r="AF78" i="8"/>
  <c r="AG78" i="8"/>
  <c r="AH78" i="8"/>
  <c r="AI78" i="8"/>
  <c r="AJ78" i="8"/>
  <c r="Z79" i="8"/>
  <c r="AA79" i="8"/>
  <c r="AB79" i="8"/>
  <c r="AC79" i="8"/>
  <c r="AD79" i="8"/>
  <c r="AE79" i="8"/>
  <c r="AF79" i="8"/>
  <c r="AG79" i="8"/>
  <c r="AH79" i="8"/>
  <c r="AI79" i="8"/>
  <c r="AJ79" i="8"/>
  <c r="Z80" i="8"/>
  <c r="AA80" i="8"/>
  <c r="AB80" i="8"/>
  <c r="AC80" i="8"/>
  <c r="AD80" i="8"/>
  <c r="AE80" i="8"/>
  <c r="AF80" i="8"/>
  <c r="AG80" i="8"/>
  <c r="AH80" i="8"/>
  <c r="AI80" i="8"/>
  <c r="AJ80" i="8"/>
  <c r="Z81" i="8"/>
  <c r="AA81" i="8"/>
  <c r="AB81" i="8"/>
  <c r="AC81" i="8"/>
  <c r="AD81" i="8"/>
  <c r="AE81" i="8"/>
  <c r="AF81" i="8"/>
  <c r="AG81" i="8"/>
  <c r="AH81" i="8"/>
  <c r="AI81" i="8"/>
  <c r="AJ81" i="8"/>
  <c r="Z82" i="8"/>
  <c r="AA82" i="8"/>
  <c r="AB82" i="8"/>
  <c r="AC82" i="8"/>
  <c r="AD82" i="8"/>
  <c r="AE82" i="8"/>
  <c r="AF82" i="8"/>
  <c r="AG82" i="8"/>
  <c r="AH82" i="8"/>
  <c r="AI82" i="8"/>
  <c r="AJ82" i="8"/>
  <c r="Z83" i="8"/>
  <c r="AA83" i="8"/>
  <c r="AB83" i="8"/>
  <c r="AC83" i="8"/>
  <c r="AD83" i="8"/>
  <c r="AE83" i="8"/>
  <c r="AF83" i="8"/>
  <c r="AG83" i="8"/>
  <c r="AH83" i="8"/>
  <c r="AI83" i="8"/>
  <c r="AJ83" i="8"/>
  <c r="Z84" i="8"/>
  <c r="AA84" i="8"/>
  <c r="AB84" i="8"/>
  <c r="AC84" i="8"/>
  <c r="AD84" i="8"/>
  <c r="AE84" i="8"/>
  <c r="AF84" i="8"/>
  <c r="AG84" i="8"/>
  <c r="AH84" i="8"/>
  <c r="AI84" i="8"/>
  <c r="AJ84" i="8"/>
  <c r="Z85" i="8"/>
  <c r="AA85" i="8"/>
  <c r="AB85" i="8"/>
  <c r="AC85" i="8"/>
  <c r="AD85" i="8"/>
  <c r="AE85" i="8"/>
  <c r="AF85" i="8"/>
  <c r="AG85" i="8"/>
  <c r="AH85" i="8"/>
  <c r="AI85" i="8"/>
  <c r="AJ85" i="8"/>
  <c r="Z86" i="8"/>
  <c r="AA86" i="8"/>
  <c r="AB86" i="8"/>
  <c r="AC86" i="8"/>
  <c r="AD86" i="8"/>
  <c r="AE86" i="8"/>
  <c r="AF86" i="8"/>
  <c r="AG86" i="8"/>
  <c r="AH86" i="8"/>
  <c r="AI86" i="8"/>
  <c r="AJ86" i="8"/>
  <c r="Z32" i="8"/>
  <c r="AA32" i="8"/>
  <c r="AB32" i="8"/>
  <c r="AC32" i="8"/>
  <c r="AD32" i="8"/>
  <c r="AE32" i="8"/>
  <c r="AF32" i="8"/>
  <c r="AG32" i="8"/>
  <c r="AH32" i="8"/>
  <c r="AI32" i="8"/>
  <c r="AJ32" i="8"/>
  <c r="Z33" i="8"/>
  <c r="AA33" i="8"/>
  <c r="AB33" i="8"/>
  <c r="AC33" i="8"/>
  <c r="AD33" i="8"/>
  <c r="AE33" i="8"/>
  <c r="AF33" i="8"/>
  <c r="AG33" i="8"/>
  <c r="AH33" i="8"/>
  <c r="AI33" i="8"/>
  <c r="AJ33" i="8"/>
  <c r="Z34" i="8"/>
  <c r="AA34" i="8"/>
  <c r="AB34" i="8"/>
  <c r="AC34" i="8"/>
  <c r="AD34" i="8"/>
  <c r="AE34" i="8"/>
  <c r="AF34" i="8"/>
  <c r="AG34" i="8"/>
  <c r="AH34" i="8"/>
  <c r="AI34" i="8"/>
  <c r="AJ34" i="8"/>
  <c r="Z35" i="8"/>
  <c r="AA35" i="8"/>
  <c r="AB35" i="8"/>
  <c r="AC35" i="8"/>
  <c r="AD35" i="8"/>
  <c r="AE35" i="8"/>
  <c r="AF35" i="8"/>
  <c r="AG35" i="8"/>
  <c r="AH35" i="8"/>
  <c r="AI35" i="8"/>
  <c r="AJ35" i="8"/>
  <c r="Z36" i="8"/>
  <c r="AA36" i="8"/>
  <c r="AB36" i="8"/>
  <c r="AC36" i="8"/>
  <c r="AD36" i="8"/>
  <c r="AE36" i="8"/>
  <c r="AF36" i="8"/>
  <c r="AG36" i="8"/>
  <c r="AH36" i="8"/>
  <c r="AI36" i="8"/>
  <c r="AJ36" i="8"/>
  <c r="Z37" i="8"/>
  <c r="AA37" i="8"/>
  <c r="AB37" i="8"/>
  <c r="AC37" i="8"/>
  <c r="AD37" i="8"/>
  <c r="AE37" i="8"/>
  <c r="AF37" i="8"/>
  <c r="AG37" i="8"/>
  <c r="AH37" i="8"/>
  <c r="AI37" i="8"/>
  <c r="AJ37" i="8"/>
  <c r="Z38" i="8"/>
  <c r="AA38" i="8"/>
  <c r="AB38" i="8"/>
  <c r="AC38" i="8"/>
  <c r="AD38" i="8"/>
  <c r="AE38" i="8"/>
  <c r="AF38" i="8"/>
  <c r="AG38" i="8"/>
  <c r="AH38" i="8"/>
  <c r="AI38" i="8"/>
  <c r="AJ38" i="8"/>
  <c r="Z39" i="8"/>
  <c r="AA39" i="8"/>
  <c r="AB39" i="8"/>
  <c r="AC39" i="8"/>
  <c r="AD39" i="8"/>
  <c r="AE39" i="8"/>
  <c r="AF39" i="8"/>
  <c r="AG39" i="8"/>
  <c r="AH39" i="8"/>
  <c r="AI39" i="8"/>
  <c r="AJ39" i="8"/>
  <c r="Z40" i="8"/>
  <c r="AA40" i="8"/>
  <c r="AB40" i="8"/>
  <c r="AC40" i="8"/>
  <c r="AD40" i="8"/>
  <c r="AE40" i="8"/>
  <c r="AF40" i="8"/>
  <c r="AG40" i="8"/>
  <c r="AH40" i="8"/>
  <c r="AI40" i="8"/>
  <c r="AJ40" i="8"/>
  <c r="Z41" i="8"/>
  <c r="AA41" i="8"/>
  <c r="AB41" i="8"/>
  <c r="AC41" i="8"/>
  <c r="AD41" i="8"/>
  <c r="AE41" i="8"/>
  <c r="AF41" i="8"/>
  <c r="AG41" i="8"/>
  <c r="AH41" i="8"/>
  <c r="AI41" i="8"/>
  <c r="AJ41" i="8"/>
  <c r="Z42" i="8"/>
  <c r="AA42" i="8"/>
  <c r="AB42" i="8"/>
  <c r="AC42" i="8"/>
  <c r="AD42" i="8"/>
  <c r="AE42" i="8"/>
  <c r="AF42" i="8"/>
  <c r="AG42" i="8"/>
  <c r="AH42" i="8"/>
  <c r="AI42" i="8"/>
  <c r="AJ42" i="8"/>
  <c r="Z43" i="8"/>
  <c r="AA43" i="8"/>
  <c r="AB43" i="8"/>
  <c r="AC43" i="8"/>
  <c r="AD43" i="8"/>
  <c r="AE43" i="8"/>
  <c r="AF43" i="8"/>
  <c r="AG43" i="8"/>
  <c r="AH43" i="8"/>
  <c r="AI43" i="8"/>
  <c r="AJ43" i="8"/>
  <c r="Z44" i="8"/>
  <c r="AA44" i="8"/>
  <c r="AB44" i="8"/>
  <c r="AC44" i="8"/>
  <c r="AD44" i="8"/>
  <c r="AE44" i="8"/>
  <c r="AF44" i="8"/>
  <c r="AG44" i="8"/>
  <c r="AH44" i="8"/>
  <c r="AI44" i="8"/>
  <c r="AJ44" i="8"/>
  <c r="Z45" i="8"/>
  <c r="AA45" i="8"/>
  <c r="AB45" i="8"/>
  <c r="AC45" i="8"/>
  <c r="AD45" i="8"/>
  <c r="AE45" i="8"/>
  <c r="AF45" i="8"/>
  <c r="AG45" i="8"/>
  <c r="AH45" i="8"/>
  <c r="AI45" i="8"/>
  <c r="AJ45" i="8"/>
  <c r="Z46" i="8"/>
  <c r="AA46" i="8"/>
  <c r="AB46" i="8"/>
  <c r="AC46" i="8"/>
  <c r="AD46" i="8"/>
  <c r="AE46" i="8"/>
  <c r="AF46" i="8"/>
  <c r="AG46" i="8"/>
  <c r="AH46" i="8"/>
  <c r="AI46" i="8"/>
  <c r="AJ46" i="8"/>
  <c r="Z47" i="8"/>
  <c r="AA47" i="8"/>
  <c r="AB47" i="8"/>
  <c r="AC47" i="8"/>
  <c r="AD47" i="8"/>
  <c r="AE47" i="8"/>
  <c r="AF47" i="8"/>
  <c r="AG47" i="8"/>
  <c r="AH47" i="8"/>
  <c r="AI47" i="8"/>
  <c r="AJ47" i="8"/>
  <c r="Z48" i="8"/>
  <c r="AA48" i="8"/>
  <c r="AB48" i="8"/>
  <c r="AC48" i="8"/>
  <c r="AD48" i="8"/>
  <c r="AE48" i="8"/>
  <c r="AF48" i="8"/>
  <c r="AG48" i="8"/>
  <c r="AH48" i="8"/>
  <c r="AI48" i="8"/>
  <c r="AJ48" i="8"/>
  <c r="Z49" i="8"/>
  <c r="AA49" i="8"/>
  <c r="AB49" i="8"/>
  <c r="AC49" i="8"/>
  <c r="AD49" i="8"/>
  <c r="AE49" i="8"/>
  <c r="AF49" i="8"/>
  <c r="AG49" i="8"/>
  <c r="AH49" i="8"/>
  <c r="AI49" i="8"/>
  <c r="AJ49" i="8"/>
  <c r="Z50" i="8"/>
  <c r="AA50" i="8"/>
  <c r="AB50" i="8"/>
  <c r="AC50" i="8"/>
  <c r="AD50" i="8"/>
  <c r="AE50" i="8"/>
  <c r="AF50" i="8"/>
  <c r="AG50" i="8"/>
  <c r="AH50" i="8"/>
  <c r="AI50" i="8"/>
  <c r="AJ50" i="8"/>
  <c r="Z51" i="8"/>
  <c r="AA51" i="8"/>
  <c r="AB51" i="8"/>
  <c r="AC51" i="8"/>
  <c r="AD51" i="8"/>
  <c r="AE51" i="8"/>
  <c r="AF51" i="8"/>
  <c r="AG51" i="8"/>
  <c r="AH51" i="8"/>
  <c r="AI51" i="8"/>
  <c r="AJ51" i="8"/>
  <c r="Z52" i="8"/>
  <c r="AA52" i="8"/>
  <c r="AB52" i="8"/>
  <c r="AC52" i="8"/>
  <c r="AD52" i="8"/>
  <c r="AE52" i="8"/>
  <c r="AF52" i="8"/>
  <c r="AG52" i="8"/>
  <c r="AH52" i="8"/>
  <c r="AI52" i="8"/>
  <c r="AJ52" i="8"/>
  <c r="Z53" i="8"/>
  <c r="AA53" i="8"/>
  <c r="AB53" i="8"/>
  <c r="AC53" i="8"/>
  <c r="AD53" i="8"/>
  <c r="AE53" i="8"/>
  <c r="AF53" i="8"/>
  <c r="AG53" i="8"/>
  <c r="AH53" i="8"/>
  <c r="AI53" i="8"/>
  <c r="AJ53" i="8"/>
  <c r="Z54" i="8"/>
  <c r="AA54" i="8"/>
  <c r="AB54" i="8"/>
  <c r="AC54" i="8"/>
  <c r="AD54" i="8"/>
  <c r="AE54" i="8"/>
  <c r="AF54" i="8"/>
  <c r="AG54" i="8"/>
  <c r="AH54" i="8"/>
  <c r="AI54" i="8"/>
  <c r="AJ54" i="8"/>
  <c r="Z55" i="8"/>
  <c r="AA55" i="8"/>
  <c r="AB55" i="8"/>
  <c r="AC55" i="8"/>
  <c r="AD55" i="8"/>
  <c r="AE55" i="8"/>
  <c r="AF55" i="8"/>
  <c r="AG55" i="8"/>
  <c r="AH55" i="8"/>
  <c r="AI55" i="8"/>
  <c r="AJ55" i="8"/>
  <c r="Z56" i="8"/>
  <c r="AA56" i="8"/>
  <c r="AB56" i="8"/>
  <c r="AC56" i="8"/>
  <c r="AD56" i="8"/>
  <c r="AE56" i="8"/>
  <c r="AF56" i="8"/>
  <c r="AG56" i="8"/>
  <c r="AH56" i="8"/>
  <c r="AI56" i="8"/>
  <c r="AJ56" i="8"/>
  <c r="Z57" i="8"/>
  <c r="AA57" i="8"/>
  <c r="AB57" i="8"/>
  <c r="AC57" i="8"/>
  <c r="AD57" i="8"/>
  <c r="AE57" i="8"/>
  <c r="AF57" i="8"/>
  <c r="AG57" i="8"/>
  <c r="AH57" i="8"/>
  <c r="AI57" i="8"/>
  <c r="AJ57" i="8"/>
  <c r="Z58" i="8"/>
  <c r="AA58" i="8"/>
  <c r="AB58" i="8"/>
  <c r="AC58" i="8"/>
  <c r="AD58" i="8"/>
  <c r="AE58" i="8"/>
  <c r="AF58" i="8"/>
  <c r="AG58" i="8"/>
  <c r="AH58" i="8"/>
  <c r="AI58" i="8"/>
  <c r="AJ58" i="8"/>
  <c r="Z59" i="8"/>
  <c r="AA59" i="8"/>
  <c r="AB59" i="8"/>
  <c r="AC59" i="8"/>
  <c r="AD59" i="8"/>
  <c r="AE59" i="8"/>
  <c r="AF59" i="8"/>
  <c r="AG59" i="8"/>
  <c r="AH59" i="8"/>
  <c r="AI59" i="8"/>
  <c r="AJ59" i="8"/>
  <c r="Z60" i="8"/>
  <c r="AA60" i="8"/>
  <c r="AB60" i="8"/>
  <c r="AC60" i="8"/>
  <c r="AD60" i="8"/>
  <c r="AE60" i="8"/>
  <c r="AF60" i="8"/>
  <c r="AG60" i="8"/>
  <c r="AH60" i="8"/>
  <c r="AI60" i="8"/>
  <c r="AJ60" i="8"/>
  <c r="Z61" i="8"/>
  <c r="AA61" i="8"/>
  <c r="AB61" i="8"/>
  <c r="AC61" i="8"/>
  <c r="AD61" i="8"/>
  <c r="AE61" i="8"/>
  <c r="AF61" i="8"/>
  <c r="AG61" i="8"/>
  <c r="AH61" i="8"/>
  <c r="AI61" i="8"/>
  <c r="AJ61" i="8"/>
  <c r="Z62" i="8"/>
  <c r="AA62" i="8"/>
  <c r="AB62" i="8"/>
  <c r="AC62" i="8"/>
  <c r="AD62" i="8"/>
  <c r="AE62" i="8"/>
  <c r="AF62" i="8"/>
  <c r="AG62" i="8"/>
  <c r="AH62" i="8"/>
  <c r="AI62" i="8"/>
  <c r="AJ62" i="8"/>
  <c r="Z63" i="8"/>
  <c r="AA63" i="8"/>
  <c r="AB63" i="8"/>
  <c r="AC63" i="8"/>
  <c r="AD63" i="8"/>
  <c r="AE63" i="8"/>
  <c r="AF63" i="8"/>
  <c r="AG63" i="8"/>
  <c r="AH63" i="8"/>
  <c r="AI63" i="8"/>
  <c r="AJ63" i="8"/>
  <c r="Z64" i="8"/>
  <c r="AA64" i="8"/>
  <c r="AB64" i="8"/>
  <c r="AC64" i="8"/>
  <c r="AD64" i="8"/>
  <c r="AE64" i="8"/>
  <c r="AF64" i="8"/>
  <c r="AG64" i="8"/>
  <c r="AH64" i="8"/>
  <c r="AI64" i="8"/>
  <c r="AJ64" i="8"/>
  <c r="AA21" i="8"/>
  <c r="AB21" i="8"/>
  <c r="AC21" i="8"/>
  <c r="AD21" i="8"/>
  <c r="AE21" i="8"/>
  <c r="AF21" i="8"/>
  <c r="AG21" i="8"/>
  <c r="AH21" i="8"/>
  <c r="AI21" i="8"/>
  <c r="AJ21" i="8"/>
  <c r="AA22" i="8"/>
  <c r="AB22" i="8"/>
  <c r="AC22" i="8"/>
  <c r="AD22" i="8"/>
  <c r="AE22" i="8"/>
  <c r="AF22" i="8"/>
  <c r="AG22" i="8"/>
  <c r="AH22" i="8"/>
  <c r="AI22" i="8"/>
  <c r="AJ22" i="8"/>
  <c r="AA23" i="8"/>
  <c r="AB23" i="8"/>
  <c r="AC23" i="8"/>
  <c r="AD23" i="8"/>
  <c r="AE23" i="8"/>
  <c r="AF23" i="8"/>
  <c r="AG23" i="8"/>
  <c r="AH23" i="8"/>
  <c r="AI23" i="8"/>
  <c r="AJ23" i="8"/>
  <c r="AA24" i="8"/>
  <c r="AB24" i="8"/>
  <c r="AC24" i="8"/>
  <c r="AD24" i="8"/>
  <c r="AE24" i="8"/>
  <c r="AF24" i="8"/>
  <c r="AG24" i="8"/>
  <c r="AH24" i="8"/>
  <c r="AI24" i="8"/>
  <c r="AJ24" i="8"/>
  <c r="AA25" i="8"/>
  <c r="AB25" i="8"/>
  <c r="AC25" i="8"/>
  <c r="AD25" i="8"/>
  <c r="AE25" i="8"/>
  <c r="AF25" i="8"/>
  <c r="AG25" i="8"/>
  <c r="AH25" i="8"/>
  <c r="AI25" i="8"/>
  <c r="AJ25" i="8"/>
  <c r="AA26" i="8"/>
  <c r="AB26" i="8"/>
  <c r="AC26" i="8"/>
  <c r="AD26" i="8"/>
  <c r="AE26" i="8"/>
  <c r="AF26" i="8"/>
  <c r="AG26" i="8"/>
  <c r="AH26" i="8"/>
  <c r="AI26" i="8"/>
  <c r="AJ26" i="8"/>
  <c r="AA27" i="8"/>
  <c r="AB27" i="8"/>
  <c r="AC27" i="8"/>
  <c r="AD27" i="8"/>
  <c r="AE27" i="8"/>
  <c r="AF27" i="8"/>
  <c r="AG27" i="8"/>
  <c r="AH27" i="8"/>
  <c r="AI27" i="8"/>
  <c r="AJ27" i="8"/>
  <c r="AA28" i="8"/>
  <c r="AB28" i="8"/>
  <c r="AC28" i="8"/>
  <c r="AD28" i="8"/>
  <c r="AE28" i="8"/>
  <c r="AF28" i="8"/>
  <c r="AG28" i="8"/>
  <c r="AH28" i="8"/>
  <c r="AI28" i="8"/>
  <c r="AJ28" i="8"/>
  <c r="AA29" i="8"/>
  <c r="AB29" i="8"/>
  <c r="AC29" i="8"/>
  <c r="AD29" i="8"/>
  <c r="AE29" i="8"/>
  <c r="AF29" i="8"/>
  <c r="AG29" i="8"/>
  <c r="AH29" i="8"/>
  <c r="AI29" i="8"/>
  <c r="AJ29" i="8"/>
  <c r="AA30" i="8"/>
  <c r="AB30" i="8"/>
  <c r="AC30" i="8"/>
  <c r="AD30" i="8"/>
  <c r="AE30" i="8"/>
  <c r="AF30" i="8"/>
  <c r="AG30" i="8"/>
  <c r="AH30" i="8"/>
  <c r="AI30" i="8"/>
  <c r="AJ30" i="8"/>
  <c r="AA31" i="8"/>
  <c r="AB31" i="8"/>
  <c r="AC31" i="8"/>
  <c r="AD31" i="8"/>
  <c r="AE31" i="8"/>
  <c r="AF31" i="8"/>
  <c r="AG31" i="8"/>
  <c r="AH31" i="8"/>
  <c r="AI31" i="8"/>
  <c r="AJ31" i="8"/>
  <c r="Z22" i="8"/>
  <c r="Z23" i="8"/>
  <c r="Z24" i="8"/>
  <c r="Z25" i="8"/>
  <c r="Z26" i="8"/>
  <c r="Z27" i="8"/>
  <c r="Z28" i="8"/>
  <c r="Z29" i="8"/>
  <c r="Z30" i="8"/>
  <c r="Z31" i="8"/>
  <c r="Z21" i="8"/>
  <c r="AL8" i="8"/>
  <c r="AM8" i="8"/>
  <c r="AN8" i="8"/>
  <c r="AO8" i="8"/>
  <c r="AP8" i="8"/>
  <c r="AQ8" i="8"/>
  <c r="AR8" i="8"/>
  <c r="AS8" i="8"/>
  <c r="AT8" i="8"/>
  <c r="AU8" i="8"/>
  <c r="AV8" i="8"/>
  <c r="AL9" i="8"/>
  <c r="AM9" i="8"/>
  <c r="AN9" i="8"/>
  <c r="AO9" i="8"/>
  <c r="AP9" i="8"/>
  <c r="AQ9" i="8"/>
  <c r="AR9" i="8"/>
  <c r="AS9" i="8"/>
  <c r="AT9" i="8"/>
  <c r="AU9" i="8"/>
  <c r="AV9" i="8"/>
  <c r="AL10" i="8"/>
  <c r="AM10" i="8"/>
  <c r="AN10" i="8"/>
  <c r="AO10" i="8"/>
  <c r="AP10" i="8"/>
  <c r="AQ10" i="8"/>
  <c r="AR10" i="8"/>
  <c r="AS10" i="8"/>
  <c r="AT10" i="8"/>
  <c r="AU10" i="8"/>
  <c r="AV10" i="8"/>
  <c r="AL11" i="8"/>
  <c r="AM11" i="8"/>
  <c r="AN11" i="8"/>
  <c r="AO11" i="8"/>
  <c r="AP11" i="8"/>
  <c r="AQ11" i="8"/>
  <c r="AR11" i="8"/>
  <c r="AS11" i="8"/>
  <c r="AT11" i="8"/>
  <c r="AU11" i="8"/>
  <c r="AV11" i="8"/>
  <c r="AL12" i="8"/>
  <c r="AM12" i="8"/>
  <c r="AN12" i="8"/>
  <c r="AO12" i="8"/>
  <c r="AP12" i="8"/>
  <c r="AQ12" i="8"/>
  <c r="AR12" i="8"/>
  <c r="AS12" i="8"/>
  <c r="AT12" i="8"/>
  <c r="AU12" i="8"/>
  <c r="AV12" i="8"/>
  <c r="AM7" i="8"/>
  <c r="AN7" i="8"/>
  <c r="AO7" i="8"/>
  <c r="AP7" i="8"/>
  <c r="AQ7" i="8"/>
  <c r="AR7" i="8"/>
  <c r="AS7" i="8"/>
  <c r="AT7" i="8"/>
  <c r="AU7" i="8"/>
  <c r="AV7" i="8"/>
  <c r="AL7" i="8"/>
  <c r="W7" i="8"/>
  <c r="X7" i="8"/>
  <c r="Y7" i="8"/>
  <c r="Z7" i="8"/>
  <c r="AA7" i="8"/>
  <c r="AB7" i="8"/>
  <c r="AC7" i="8"/>
  <c r="AD7" i="8"/>
  <c r="AE7" i="8"/>
  <c r="AF7" i="8"/>
  <c r="W8" i="8"/>
  <c r="X8" i="8"/>
  <c r="Y8" i="8"/>
  <c r="Z8" i="8"/>
  <c r="AA8" i="8"/>
  <c r="AB8" i="8"/>
  <c r="AC8" i="8"/>
  <c r="AD8" i="8"/>
  <c r="AE8" i="8"/>
  <c r="AF8" i="8"/>
  <c r="W9" i="8"/>
  <c r="X9" i="8"/>
  <c r="Y9" i="8"/>
  <c r="Z9" i="8"/>
  <c r="AA9" i="8"/>
  <c r="AB9" i="8"/>
  <c r="AC9" i="8"/>
  <c r="AD9" i="8"/>
  <c r="AE9" i="8"/>
  <c r="AF9" i="8"/>
  <c r="W10" i="8"/>
  <c r="X10" i="8"/>
  <c r="Y10" i="8"/>
  <c r="Z10" i="8"/>
  <c r="AA10" i="8"/>
  <c r="AB10" i="8"/>
  <c r="AC10" i="8"/>
  <c r="AD10" i="8"/>
  <c r="AE10" i="8"/>
  <c r="AF10" i="8"/>
  <c r="W11" i="8"/>
  <c r="X11" i="8"/>
  <c r="Y11" i="8"/>
  <c r="Z11" i="8"/>
  <c r="AA11" i="8"/>
  <c r="AB11" i="8"/>
  <c r="AC11" i="8"/>
  <c r="AD11" i="8"/>
  <c r="AE11" i="8"/>
  <c r="AF11" i="8"/>
  <c r="W12" i="8"/>
  <c r="X12" i="8"/>
  <c r="Y12" i="8"/>
  <c r="Z12" i="8"/>
  <c r="AA12" i="8"/>
  <c r="AB12" i="8"/>
  <c r="AC12" i="8"/>
  <c r="AD12" i="8"/>
  <c r="AE12" i="8"/>
  <c r="AF12" i="8"/>
  <c r="V8" i="8"/>
  <c r="V9" i="8"/>
  <c r="V10" i="8"/>
  <c r="V11" i="8"/>
  <c r="V12" i="8"/>
  <c r="V7" i="8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A94" i="1"/>
  <c r="Z94" i="1"/>
  <c r="Y94" i="1"/>
  <c r="X94" i="1"/>
  <c r="W94" i="1"/>
  <c r="V94" i="1"/>
  <c r="U94" i="1"/>
  <c r="T94" i="1"/>
  <c r="S94" i="1"/>
  <c r="R94" i="1"/>
  <c r="Q94" i="1"/>
  <c r="P94" i="1"/>
  <c r="AA93" i="1"/>
  <c r="Z93" i="1"/>
  <c r="Y93" i="1"/>
  <c r="X93" i="1"/>
  <c r="W93" i="1"/>
  <c r="V93" i="1"/>
  <c r="U93" i="1"/>
  <c r="T93" i="1"/>
  <c r="S93" i="1"/>
  <c r="R93" i="1"/>
  <c r="Q93" i="1"/>
  <c r="P93" i="1"/>
  <c r="AA92" i="1"/>
  <c r="Z92" i="1"/>
  <c r="Y92" i="1"/>
  <c r="X92" i="1"/>
  <c r="W92" i="1"/>
  <c r="V92" i="1"/>
  <c r="U92" i="1"/>
  <c r="T92" i="1"/>
  <c r="S92" i="1"/>
  <c r="R92" i="1"/>
  <c r="Q92" i="1"/>
  <c r="P92" i="1"/>
  <c r="AA91" i="1"/>
  <c r="Z91" i="1"/>
  <c r="Y91" i="1"/>
  <c r="X91" i="1"/>
  <c r="W91" i="1"/>
  <c r="V91" i="1"/>
  <c r="U91" i="1"/>
  <c r="T91" i="1"/>
  <c r="S91" i="1"/>
  <c r="R91" i="1"/>
  <c r="Q91" i="1"/>
  <c r="P91" i="1"/>
  <c r="AA90" i="1"/>
  <c r="Z90" i="1"/>
  <c r="Y90" i="1"/>
  <c r="X90" i="1"/>
  <c r="W90" i="1"/>
  <c r="V90" i="1"/>
  <c r="U90" i="1"/>
  <c r="T90" i="1"/>
  <c r="S90" i="1"/>
  <c r="R90" i="1"/>
  <c r="Q90" i="1"/>
  <c r="P90" i="1"/>
  <c r="AA89" i="1"/>
  <c r="Z89" i="1"/>
  <c r="Y89" i="1"/>
  <c r="X89" i="1"/>
  <c r="W89" i="1"/>
  <c r="V89" i="1"/>
  <c r="U89" i="1"/>
  <c r="T89" i="1"/>
  <c r="S89" i="1"/>
  <c r="R89" i="1"/>
  <c r="Q89" i="1"/>
  <c r="P89" i="1"/>
  <c r="AA88" i="1"/>
  <c r="Z88" i="1"/>
  <c r="Y88" i="1"/>
  <c r="X88" i="1"/>
  <c r="W88" i="1"/>
  <c r="V88" i="1"/>
  <c r="U88" i="1"/>
  <c r="T88" i="1"/>
  <c r="S88" i="1"/>
  <c r="R88" i="1"/>
  <c r="Q88" i="1"/>
  <c r="P88" i="1"/>
  <c r="AA87" i="1"/>
  <c r="Z87" i="1"/>
  <c r="Y87" i="1"/>
  <c r="X87" i="1"/>
  <c r="W87" i="1"/>
  <c r="V87" i="1"/>
  <c r="U87" i="1"/>
  <c r="T87" i="1"/>
  <c r="S87" i="1"/>
  <c r="R87" i="1"/>
  <c r="Q87" i="1"/>
  <c r="P87" i="1"/>
  <c r="AA86" i="1"/>
  <c r="Z86" i="1"/>
  <c r="Y86" i="1"/>
  <c r="X86" i="1"/>
  <c r="W86" i="1"/>
  <c r="V86" i="1"/>
  <c r="U86" i="1"/>
  <c r="T86" i="1"/>
  <c r="S86" i="1"/>
  <c r="R86" i="1"/>
  <c r="Q86" i="1"/>
  <c r="P86" i="1"/>
  <c r="AA85" i="1"/>
  <c r="Z85" i="1"/>
  <c r="Y85" i="1"/>
  <c r="X85" i="1"/>
  <c r="W85" i="1"/>
  <c r="V85" i="1"/>
  <c r="U85" i="1"/>
  <c r="T85" i="1"/>
  <c r="S85" i="1"/>
  <c r="R85" i="1"/>
  <c r="Q85" i="1"/>
  <c r="P85" i="1"/>
  <c r="AA84" i="1"/>
  <c r="Z84" i="1"/>
  <c r="Y84" i="1"/>
  <c r="X84" i="1"/>
  <c r="W84" i="1"/>
  <c r="V84" i="1"/>
  <c r="U84" i="1"/>
  <c r="T84" i="1"/>
  <c r="S84" i="1"/>
  <c r="R84" i="1"/>
  <c r="Q84" i="1"/>
  <c r="P84" i="1"/>
  <c r="AA83" i="1"/>
  <c r="Z83" i="1"/>
  <c r="Y83" i="1"/>
  <c r="X83" i="1"/>
  <c r="W83" i="1"/>
  <c r="V83" i="1"/>
  <c r="U83" i="1"/>
  <c r="T83" i="1"/>
  <c r="S83" i="1"/>
  <c r="R83" i="1"/>
  <c r="Q83" i="1"/>
  <c r="P83" i="1"/>
  <c r="AA82" i="1"/>
  <c r="Z82" i="1"/>
  <c r="Y82" i="1"/>
  <c r="X82" i="1"/>
  <c r="W82" i="1"/>
  <c r="V82" i="1"/>
  <c r="U82" i="1"/>
  <c r="T82" i="1"/>
  <c r="S82" i="1"/>
  <c r="R82" i="1"/>
  <c r="Q82" i="1"/>
  <c r="P82" i="1"/>
  <c r="AA81" i="1"/>
  <c r="Z81" i="1"/>
  <c r="Y81" i="1"/>
  <c r="X81" i="1"/>
  <c r="W81" i="1"/>
  <c r="V81" i="1"/>
  <c r="U81" i="1"/>
  <c r="T81" i="1"/>
  <c r="S81" i="1"/>
  <c r="R81" i="1"/>
  <c r="Q81" i="1"/>
  <c r="P81" i="1"/>
  <c r="AA80" i="1"/>
  <c r="Z80" i="1"/>
  <c r="Y80" i="1"/>
  <c r="X80" i="1"/>
  <c r="W80" i="1"/>
  <c r="V80" i="1"/>
  <c r="U80" i="1"/>
  <c r="T80" i="1"/>
  <c r="S80" i="1"/>
  <c r="R80" i="1"/>
  <c r="Q80" i="1"/>
  <c r="P80" i="1"/>
  <c r="AA79" i="1"/>
  <c r="Z79" i="1"/>
  <c r="Y79" i="1"/>
  <c r="X79" i="1"/>
  <c r="W79" i="1"/>
  <c r="V79" i="1"/>
  <c r="U79" i="1"/>
  <c r="T79" i="1"/>
  <c r="S79" i="1"/>
  <c r="R79" i="1"/>
  <c r="Q79" i="1"/>
  <c r="P79" i="1"/>
  <c r="AA78" i="1"/>
  <c r="Z78" i="1"/>
  <c r="Y78" i="1"/>
  <c r="X78" i="1"/>
  <c r="W78" i="1"/>
  <c r="V78" i="1"/>
  <c r="U78" i="1"/>
  <c r="T78" i="1"/>
  <c r="S78" i="1"/>
  <c r="R78" i="1"/>
  <c r="Q78" i="1"/>
  <c r="P78" i="1"/>
  <c r="AA77" i="1"/>
  <c r="Z77" i="1"/>
  <c r="Y77" i="1"/>
  <c r="X77" i="1"/>
  <c r="W77" i="1"/>
  <c r="V77" i="1"/>
  <c r="U77" i="1"/>
  <c r="T77" i="1"/>
  <c r="S77" i="1"/>
  <c r="R77" i="1"/>
  <c r="Q77" i="1"/>
  <c r="P77" i="1"/>
  <c r="AA76" i="1"/>
  <c r="Z76" i="1"/>
  <c r="Y76" i="1"/>
  <c r="X76" i="1"/>
  <c r="W76" i="1"/>
  <c r="V76" i="1"/>
  <c r="U76" i="1"/>
  <c r="T76" i="1"/>
  <c r="S76" i="1"/>
  <c r="R76" i="1"/>
  <c r="Q76" i="1"/>
  <c r="P76" i="1"/>
  <c r="AA75" i="1"/>
  <c r="Z75" i="1"/>
  <c r="Y75" i="1"/>
  <c r="X75" i="1"/>
  <c r="W75" i="1"/>
  <c r="V75" i="1"/>
  <c r="U75" i="1"/>
  <c r="T75" i="1"/>
  <c r="S75" i="1"/>
  <c r="R75" i="1"/>
  <c r="Q75" i="1"/>
  <c r="P75" i="1"/>
  <c r="AA74" i="1"/>
  <c r="Z74" i="1"/>
  <c r="Y74" i="1"/>
  <c r="X74" i="1"/>
  <c r="W74" i="1"/>
  <c r="V74" i="1"/>
  <c r="U74" i="1"/>
  <c r="T74" i="1"/>
  <c r="S74" i="1"/>
  <c r="R74" i="1"/>
  <c r="Q74" i="1"/>
  <c r="P74" i="1"/>
  <c r="AA73" i="1"/>
  <c r="Z73" i="1"/>
  <c r="Y73" i="1"/>
  <c r="X73" i="1"/>
  <c r="W73" i="1"/>
  <c r="V73" i="1"/>
  <c r="U73" i="1"/>
  <c r="T73" i="1"/>
  <c r="S73" i="1"/>
  <c r="R73" i="1"/>
  <c r="Q73" i="1"/>
  <c r="P73" i="1"/>
  <c r="AA72" i="1"/>
  <c r="Z72" i="1"/>
  <c r="Y72" i="1"/>
  <c r="X72" i="1"/>
  <c r="W72" i="1"/>
  <c r="V72" i="1"/>
  <c r="U72" i="1"/>
  <c r="T72" i="1"/>
  <c r="S72" i="1"/>
  <c r="R72" i="1"/>
  <c r="Q72" i="1"/>
  <c r="P72" i="1"/>
  <c r="AA71" i="1"/>
  <c r="Z71" i="1"/>
  <c r="Y71" i="1"/>
  <c r="X71" i="1"/>
  <c r="W71" i="1"/>
  <c r="V71" i="1"/>
  <c r="U71" i="1"/>
  <c r="T71" i="1"/>
  <c r="S71" i="1"/>
  <c r="R71" i="1"/>
  <c r="Q71" i="1"/>
  <c r="P71" i="1"/>
  <c r="AA70" i="1"/>
  <c r="Z70" i="1"/>
  <c r="Y70" i="1"/>
  <c r="X70" i="1"/>
  <c r="W70" i="1"/>
  <c r="V70" i="1"/>
  <c r="U70" i="1"/>
  <c r="T70" i="1"/>
  <c r="S70" i="1"/>
  <c r="R70" i="1"/>
  <c r="Q70" i="1"/>
  <c r="P70" i="1"/>
  <c r="AA69" i="1"/>
  <c r="Z69" i="1"/>
  <c r="Y69" i="1"/>
  <c r="X69" i="1"/>
  <c r="W69" i="1"/>
  <c r="V69" i="1"/>
  <c r="U69" i="1"/>
  <c r="T69" i="1"/>
  <c r="S69" i="1"/>
  <c r="R69" i="1"/>
  <c r="Q69" i="1"/>
  <c r="P69" i="1"/>
  <c r="AA68" i="1"/>
  <c r="Z68" i="1"/>
  <c r="Y68" i="1"/>
  <c r="X68" i="1"/>
  <c r="W68" i="1"/>
  <c r="V68" i="1"/>
  <c r="U68" i="1"/>
  <c r="T68" i="1"/>
  <c r="S68" i="1"/>
  <c r="R68" i="1"/>
  <c r="Q68" i="1"/>
  <c r="P68" i="1"/>
  <c r="AA67" i="1"/>
  <c r="Z67" i="1"/>
  <c r="Y67" i="1"/>
  <c r="X67" i="1"/>
  <c r="W67" i="1"/>
  <c r="V67" i="1"/>
  <c r="U67" i="1"/>
  <c r="T67" i="1"/>
  <c r="S67" i="1"/>
  <c r="R67" i="1"/>
  <c r="Q67" i="1"/>
  <c r="P67" i="1"/>
  <c r="AA66" i="1"/>
  <c r="Z66" i="1"/>
  <c r="Y66" i="1"/>
  <c r="X66" i="1"/>
  <c r="W66" i="1"/>
  <c r="V66" i="1"/>
  <c r="U66" i="1"/>
  <c r="T66" i="1"/>
  <c r="S66" i="1"/>
  <c r="R66" i="1"/>
  <c r="Q66" i="1"/>
  <c r="P66" i="1"/>
  <c r="AA65" i="1"/>
  <c r="Z65" i="1"/>
  <c r="Y65" i="1"/>
  <c r="X65" i="1"/>
  <c r="W65" i="1"/>
  <c r="V65" i="1"/>
  <c r="U65" i="1"/>
  <c r="T65" i="1"/>
  <c r="S65" i="1"/>
  <c r="R65" i="1"/>
  <c r="Q65" i="1"/>
  <c r="P65" i="1"/>
  <c r="AA64" i="1"/>
  <c r="Z64" i="1"/>
  <c r="Y64" i="1"/>
  <c r="X64" i="1"/>
  <c r="W64" i="1"/>
  <c r="V64" i="1"/>
  <c r="U64" i="1"/>
  <c r="T64" i="1"/>
  <c r="S64" i="1"/>
  <c r="R64" i="1"/>
  <c r="Q64" i="1"/>
  <c r="P64" i="1"/>
  <c r="AA63" i="1"/>
  <c r="Z63" i="1"/>
  <c r="Y63" i="1"/>
  <c r="X63" i="1"/>
  <c r="W63" i="1"/>
  <c r="V63" i="1"/>
  <c r="U63" i="1"/>
  <c r="T63" i="1"/>
  <c r="S63" i="1"/>
  <c r="R63" i="1"/>
  <c r="Q63" i="1"/>
  <c r="P63" i="1"/>
  <c r="AA62" i="1"/>
  <c r="Z62" i="1"/>
  <c r="Y62" i="1"/>
  <c r="X62" i="1"/>
  <c r="W62" i="1"/>
  <c r="V62" i="1"/>
  <c r="U62" i="1"/>
  <c r="T62" i="1"/>
  <c r="S62" i="1"/>
  <c r="R62" i="1"/>
  <c r="Q62" i="1"/>
  <c r="P62" i="1"/>
  <c r="AA61" i="1"/>
  <c r="Z61" i="1"/>
  <c r="Y61" i="1"/>
  <c r="X61" i="1"/>
  <c r="W61" i="1"/>
  <c r="V61" i="1"/>
  <c r="U61" i="1"/>
  <c r="T61" i="1"/>
  <c r="S61" i="1"/>
  <c r="R61" i="1"/>
  <c r="Q61" i="1"/>
  <c r="P61" i="1"/>
  <c r="AA60" i="1"/>
  <c r="Z60" i="1"/>
  <c r="Y60" i="1"/>
  <c r="X60" i="1"/>
  <c r="W60" i="1"/>
  <c r="V60" i="1"/>
  <c r="U60" i="1"/>
  <c r="T60" i="1"/>
  <c r="S60" i="1"/>
  <c r="R60" i="1"/>
  <c r="Q60" i="1"/>
  <c r="P60" i="1"/>
  <c r="AA111" i="3"/>
  <c r="Z111" i="3"/>
  <c r="Y111" i="3"/>
  <c r="X111" i="3"/>
  <c r="W111" i="3"/>
  <c r="V111" i="3"/>
  <c r="U111" i="3"/>
  <c r="T111" i="3"/>
  <c r="S111" i="3"/>
  <c r="R111" i="3"/>
  <c r="Q111" i="3"/>
  <c r="P111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AA99" i="3"/>
  <c r="Z99" i="3"/>
  <c r="Y99" i="3"/>
  <c r="X99" i="3"/>
  <c r="W99" i="3"/>
  <c r="V99" i="3"/>
  <c r="U99" i="3"/>
  <c r="T99" i="3"/>
  <c r="S99" i="3"/>
  <c r="R99" i="3"/>
  <c r="Q99" i="3"/>
  <c r="P99" i="3"/>
  <c r="AA98" i="3"/>
  <c r="Z98" i="3"/>
  <c r="Y98" i="3"/>
  <c r="X98" i="3"/>
  <c r="W98" i="3"/>
  <c r="V98" i="3"/>
  <c r="U98" i="3"/>
  <c r="T98" i="3"/>
  <c r="S98" i="3"/>
  <c r="R98" i="3"/>
  <c r="Q98" i="3"/>
  <c r="P98" i="3"/>
  <c r="AA97" i="3"/>
  <c r="Z97" i="3"/>
  <c r="Y97" i="3"/>
  <c r="X97" i="3"/>
  <c r="W97" i="3"/>
  <c r="V97" i="3"/>
  <c r="U97" i="3"/>
  <c r="T97" i="3"/>
  <c r="S97" i="3"/>
  <c r="R97" i="3"/>
  <c r="Q97" i="3"/>
  <c r="P97" i="3"/>
  <c r="AA96" i="3"/>
  <c r="Z96" i="3"/>
  <c r="Y96" i="3"/>
  <c r="X96" i="3"/>
  <c r="W96" i="3"/>
  <c r="V96" i="3"/>
  <c r="U96" i="3"/>
  <c r="T96" i="3"/>
  <c r="S96" i="3"/>
  <c r="R96" i="3"/>
  <c r="Q96" i="3"/>
  <c r="P96" i="3"/>
  <c r="AA95" i="3"/>
  <c r="Z95" i="3"/>
  <c r="Y95" i="3"/>
  <c r="X95" i="3"/>
  <c r="W95" i="3"/>
  <c r="V95" i="3"/>
  <c r="U95" i="3"/>
  <c r="T95" i="3"/>
  <c r="S95" i="3"/>
  <c r="R95" i="3"/>
  <c r="Q95" i="3"/>
  <c r="P95" i="3"/>
  <c r="AA94" i="3"/>
  <c r="Z94" i="3"/>
  <c r="Y94" i="3"/>
  <c r="X94" i="3"/>
  <c r="W94" i="3"/>
  <c r="V94" i="3"/>
  <c r="U94" i="3"/>
  <c r="T94" i="3"/>
  <c r="S94" i="3"/>
  <c r="R94" i="3"/>
  <c r="Q94" i="3"/>
  <c r="P94" i="3"/>
  <c r="AA93" i="3"/>
  <c r="Z93" i="3"/>
  <c r="Y93" i="3"/>
  <c r="X93" i="3"/>
  <c r="W93" i="3"/>
  <c r="V93" i="3"/>
  <c r="U93" i="3"/>
  <c r="T93" i="3"/>
  <c r="S93" i="3"/>
  <c r="R93" i="3"/>
  <c r="Q93" i="3"/>
  <c r="P93" i="3"/>
  <c r="AA92" i="3"/>
  <c r="Z92" i="3"/>
  <c r="Y92" i="3"/>
  <c r="X92" i="3"/>
  <c r="W92" i="3"/>
  <c r="V92" i="3"/>
  <c r="U92" i="3"/>
  <c r="T92" i="3"/>
  <c r="S92" i="3"/>
  <c r="R92" i="3"/>
  <c r="Q92" i="3"/>
  <c r="P92" i="3"/>
  <c r="AA91" i="3"/>
  <c r="Z91" i="3"/>
  <c r="Y91" i="3"/>
  <c r="X91" i="3"/>
  <c r="W91" i="3"/>
  <c r="V91" i="3"/>
  <c r="U91" i="3"/>
  <c r="T91" i="3"/>
  <c r="S91" i="3"/>
  <c r="R91" i="3"/>
  <c r="Q91" i="3"/>
  <c r="P91" i="3"/>
  <c r="AA90" i="3"/>
  <c r="Z90" i="3"/>
  <c r="Y90" i="3"/>
  <c r="X90" i="3"/>
  <c r="W90" i="3"/>
  <c r="V90" i="3"/>
  <c r="U90" i="3"/>
  <c r="T90" i="3"/>
  <c r="S90" i="3"/>
  <c r="R90" i="3"/>
  <c r="Q90" i="3"/>
  <c r="P90" i="3"/>
  <c r="AA89" i="3"/>
  <c r="Z89" i="3"/>
  <c r="Y89" i="3"/>
  <c r="X89" i="3"/>
  <c r="W89" i="3"/>
  <c r="V89" i="3"/>
  <c r="U89" i="3"/>
  <c r="T89" i="3"/>
  <c r="S89" i="3"/>
  <c r="R89" i="3"/>
  <c r="Q89" i="3"/>
  <c r="P89" i="3"/>
  <c r="AA88" i="3"/>
  <c r="Z88" i="3"/>
  <c r="Y88" i="3"/>
  <c r="X88" i="3"/>
  <c r="W88" i="3"/>
  <c r="V88" i="3"/>
  <c r="U88" i="3"/>
  <c r="T88" i="3"/>
  <c r="S88" i="3"/>
  <c r="R88" i="3"/>
  <c r="Q88" i="3"/>
  <c r="P88" i="3"/>
  <c r="AA87" i="3"/>
  <c r="Z87" i="3"/>
  <c r="Y87" i="3"/>
  <c r="X87" i="3"/>
  <c r="W87" i="3"/>
  <c r="V87" i="3"/>
  <c r="U87" i="3"/>
  <c r="T87" i="3"/>
  <c r="S87" i="3"/>
  <c r="R87" i="3"/>
  <c r="Q87" i="3"/>
  <c r="P87" i="3"/>
  <c r="AA86" i="3"/>
  <c r="Z86" i="3"/>
  <c r="Y86" i="3"/>
  <c r="X86" i="3"/>
  <c r="W86" i="3"/>
  <c r="V86" i="3"/>
  <c r="U86" i="3"/>
  <c r="T86" i="3"/>
  <c r="S86" i="3"/>
  <c r="R86" i="3"/>
  <c r="Q86" i="3"/>
  <c r="P86" i="3"/>
  <c r="AA85" i="3"/>
  <c r="Z85" i="3"/>
  <c r="Y85" i="3"/>
  <c r="X85" i="3"/>
  <c r="W85" i="3"/>
  <c r="V85" i="3"/>
  <c r="U85" i="3"/>
  <c r="T85" i="3"/>
  <c r="S85" i="3"/>
  <c r="R85" i="3"/>
  <c r="Q85" i="3"/>
  <c r="P85" i="3"/>
  <c r="AA84" i="3"/>
  <c r="Z84" i="3"/>
  <c r="Y84" i="3"/>
  <c r="X84" i="3"/>
  <c r="W84" i="3"/>
  <c r="V84" i="3"/>
  <c r="U84" i="3"/>
  <c r="T84" i="3"/>
  <c r="S84" i="3"/>
  <c r="R84" i="3"/>
  <c r="Q84" i="3"/>
  <c r="P84" i="3"/>
  <c r="AA83" i="3"/>
  <c r="Z83" i="3"/>
  <c r="Y83" i="3"/>
  <c r="X83" i="3"/>
  <c r="W83" i="3"/>
  <c r="V83" i="3"/>
  <c r="U83" i="3"/>
  <c r="T83" i="3"/>
  <c r="S83" i="3"/>
  <c r="R83" i="3"/>
  <c r="Q83" i="3"/>
  <c r="P83" i="3"/>
  <c r="AA82" i="3"/>
  <c r="Z82" i="3"/>
  <c r="Y82" i="3"/>
  <c r="X82" i="3"/>
  <c r="W82" i="3"/>
  <c r="V82" i="3"/>
  <c r="U82" i="3"/>
  <c r="T82" i="3"/>
  <c r="S82" i="3"/>
  <c r="R82" i="3"/>
  <c r="Q82" i="3"/>
  <c r="P82" i="3"/>
  <c r="AA81" i="3"/>
  <c r="Z81" i="3"/>
  <c r="Y81" i="3"/>
  <c r="X81" i="3"/>
  <c r="W81" i="3"/>
  <c r="V81" i="3"/>
  <c r="U81" i="3"/>
  <c r="T81" i="3"/>
  <c r="S81" i="3"/>
  <c r="R81" i="3"/>
  <c r="Q81" i="3"/>
  <c r="P81" i="3"/>
  <c r="AA80" i="3"/>
  <c r="Z80" i="3"/>
  <c r="Y80" i="3"/>
  <c r="X80" i="3"/>
  <c r="W80" i="3"/>
  <c r="V80" i="3"/>
  <c r="U80" i="3"/>
  <c r="T80" i="3"/>
  <c r="S80" i="3"/>
  <c r="R80" i="3"/>
  <c r="Q80" i="3"/>
  <c r="P80" i="3"/>
  <c r="AA79" i="3"/>
  <c r="Z79" i="3"/>
  <c r="Y79" i="3"/>
  <c r="X79" i="3"/>
  <c r="W79" i="3"/>
  <c r="V79" i="3"/>
  <c r="U79" i="3"/>
  <c r="T79" i="3"/>
  <c r="S79" i="3"/>
  <c r="R79" i="3"/>
  <c r="Q79" i="3"/>
  <c r="P79" i="3"/>
  <c r="AA78" i="3"/>
  <c r="Z78" i="3"/>
  <c r="Y78" i="3"/>
  <c r="X78" i="3"/>
  <c r="W78" i="3"/>
  <c r="V78" i="3"/>
  <c r="U78" i="3"/>
  <c r="T78" i="3"/>
  <c r="S78" i="3"/>
  <c r="R78" i="3"/>
  <c r="Q78" i="3"/>
  <c r="P78" i="3"/>
  <c r="AA77" i="3"/>
  <c r="Z77" i="3"/>
  <c r="Y77" i="3"/>
  <c r="X77" i="3"/>
  <c r="W77" i="3"/>
  <c r="V77" i="3"/>
  <c r="U77" i="3"/>
  <c r="T77" i="3"/>
  <c r="S77" i="3"/>
  <c r="R77" i="3"/>
  <c r="Q77" i="3"/>
  <c r="P77" i="3"/>
  <c r="AA76" i="3"/>
  <c r="Z76" i="3"/>
  <c r="Y76" i="3"/>
  <c r="X76" i="3"/>
  <c r="W76" i="3"/>
  <c r="V76" i="3"/>
  <c r="U76" i="3"/>
  <c r="T76" i="3"/>
  <c r="S76" i="3"/>
  <c r="R76" i="3"/>
  <c r="Q76" i="3"/>
  <c r="P76" i="3"/>
  <c r="AA75" i="3"/>
  <c r="Z75" i="3"/>
  <c r="Y75" i="3"/>
  <c r="X75" i="3"/>
  <c r="W75" i="3"/>
  <c r="V75" i="3"/>
  <c r="U75" i="3"/>
  <c r="T75" i="3"/>
  <c r="S75" i="3"/>
  <c r="R75" i="3"/>
  <c r="Q75" i="3"/>
  <c r="P75" i="3"/>
  <c r="AA74" i="3"/>
  <c r="Z74" i="3"/>
  <c r="Y74" i="3"/>
  <c r="X74" i="3"/>
  <c r="W74" i="3"/>
  <c r="V74" i="3"/>
  <c r="U74" i="3"/>
  <c r="T74" i="3"/>
  <c r="S74" i="3"/>
  <c r="R74" i="3"/>
  <c r="Q74" i="3"/>
  <c r="P74" i="3"/>
  <c r="AA73" i="3"/>
  <c r="Z73" i="3"/>
  <c r="Y73" i="3"/>
  <c r="X73" i="3"/>
  <c r="W73" i="3"/>
  <c r="V73" i="3"/>
  <c r="U73" i="3"/>
  <c r="T73" i="3"/>
  <c r="S73" i="3"/>
  <c r="R73" i="3"/>
  <c r="Q73" i="3"/>
  <c r="P73" i="3"/>
  <c r="AA72" i="3"/>
  <c r="Z72" i="3"/>
  <c r="Y72" i="3"/>
  <c r="X72" i="3"/>
  <c r="W72" i="3"/>
  <c r="V72" i="3"/>
  <c r="U72" i="3"/>
  <c r="T72" i="3"/>
  <c r="S72" i="3"/>
  <c r="R72" i="3"/>
  <c r="Q72" i="3"/>
  <c r="P72" i="3"/>
  <c r="AA71" i="3"/>
  <c r="Z71" i="3"/>
  <c r="Y71" i="3"/>
  <c r="X71" i="3"/>
  <c r="W71" i="3"/>
  <c r="V71" i="3"/>
  <c r="U71" i="3"/>
  <c r="T71" i="3"/>
  <c r="S71" i="3"/>
  <c r="R71" i="3"/>
  <c r="Q71" i="3"/>
  <c r="P71" i="3"/>
  <c r="AA70" i="3"/>
  <c r="Z70" i="3"/>
  <c r="Y70" i="3"/>
  <c r="X70" i="3"/>
  <c r="W70" i="3"/>
  <c r="V70" i="3"/>
  <c r="U70" i="3"/>
  <c r="T70" i="3"/>
  <c r="S70" i="3"/>
  <c r="R70" i="3"/>
  <c r="Q70" i="3"/>
  <c r="P70" i="3"/>
  <c r="AA69" i="3"/>
  <c r="Z69" i="3"/>
  <c r="Y69" i="3"/>
  <c r="X69" i="3"/>
  <c r="W69" i="3"/>
  <c r="V69" i="3"/>
  <c r="U69" i="3"/>
  <c r="T69" i="3"/>
  <c r="S69" i="3"/>
  <c r="R69" i="3"/>
  <c r="Q69" i="3"/>
  <c r="P69" i="3"/>
  <c r="AA68" i="3"/>
  <c r="Z68" i="3"/>
  <c r="Y68" i="3"/>
  <c r="X68" i="3"/>
  <c r="W68" i="3"/>
  <c r="V68" i="3"/>
  <c r="U68" i="3"/>
  <c r="T68" i="3"/>
  <c r="S68" i="3"/>
  <c r="R68" i="3"/>
  <c r="Q68" i="3"/>
  <c r="P68" i="3"/>
  <c r="AA67" i="3"/>
  <c r="Z67" i="3"/>
  <c r="Y67" i="3"/>
  <c r="X67" i="3"/>
  <c r="W67" i="3"/>
  <c r="V67" i="3"/>
  <c r="U67" i="3"/>
  <c r="T67" i="3"/>
  <c r="S67" i="3"/>
  <c r="R67" i="3"/>
  <c r="Q67" i="3"/>
  <c r="P67" i="3"/>
  <c r="AA66" i="3"/>
  <c r="Z66" i="3"/>
  <c r="Y66" i="3"/>
  <c r="X66" i="3"/>
  <c r="W66" i="3"/>
  <c r="V66" i="3"/>
  <c r="U66" i="3"/>
  <c r="T66" i="3"/>
  <c r="S66" i="3"/>
  <c r="R66" i="3"/>
  <c r="Q66" i="3"/>
  <c r="P66" i="3"/>
  <c r="AA65" i="3"/>
  <c r="Z65" i="3"/>
  <c r="Y65" i="3"/>
  <c r="X65" i="3"/>
  <c r="W65" i="3"/>
  <c r="V65" i="3"/>
  <c r="U65" i="3"/>
  <c r="T65" i="3"/>
  <c r="S65" i="3"/>
  <c r="R65" i="3"/>
  <c r="Q65" i="3"/>
  <c r="P65" i="3"/>
  <c r="AA64" i="3"/>
  <c r="Z64" i="3"/>
  <c r="Y64" i="3"/>
  <c r="X64" i="3"/>
  <c r="W64" i="3"/>
  <c r="V64" i="3"/>
  <c r="U64" i="3"/>
  <c r="T64" i="3"/>
  <c r="S64" i="3"/>
  <c r="R64" i="3"/>
  <c r="Q64" i="3"/>
  <c r="P64" i="3"/>
  <c r="AA63" i="3"/>
  <c r="Z63" i="3"/>
  <c r="Y63" i="3"/>
  <c r="X63" i="3"/>
  <c r="W63" i="3"/>
  <c r="V63" i="3"/>
  <c r="U63" i="3"/>
  <c r="T63" i="3"/>
  <c r="S63" i="3"/>
  <c r="R63" i="3"/>
  <c r="Q63" i="3"/>
  <c r="P63" i="3"/>
  <c r="AA62" i="3"/>
  <c r="Z62" i="3"/>
  <c r="Y62" i="3"/>
  <c r="X62" i="3"/>
  <c r="W62" i="3"/>
  <c r="V62" i="3"/>
  <c r="U62" i="3"/>
  <c r="T62" i="3"/>
  <c r="T112" i="3" s="1"/>
  <c r="G112" i="3" s="1"/>
  <c r="S62" i="3"/>
  <c r="R62" i="3"/>
  <c r="Q62" i="3"/>
  <c r="P62" i="3"/>
  <c r="AA61" i="3"/>
  <c r="Z61" i="3"/>
  <c r="Y61" i="3"/>
  <c r="X61" i="3"/>
  <c r="W61" i="3"/>
  <c r="V61" i="3"/>
  <c r="U61" i="3"/>
  <c r="T61" i="3"/>
  <c r="S61" i="3"/>
  <c r="R61" i="3"/>
  <c r="Q61" i="3"/>
  <c r="P61" i="3"/>
  <c r="AA60" i="3"/>
  <c r="AA112" i="3" s="1"/>
  <c r="N112" i="3" s="1"/>
  <c r="Z60" i="3"/>
  <c r="Y60" i="3"/>
  <c r="X60" i="3"/>
  <c r="X112" i="3" s="1"/>
  <c r="K112" i="3" s="1"/>
  <c r="W60" i="3"/>
  <c r="V60" i="3"/>
  <c r="U60" i="3"/>
  <c r="T60" i="3"/>
  <c r="S60" i="3"/>
  <c r="R60" i="3"/>
  <c r="Q60" i="3"/>
  <c r="P60" i="3"/>
  <c r="P62" i="4"/>
  <c r="Q62" i="4"/>
  <c r="R62" i="4"/>
  <c r="S62" i="4"/>
  <c r="T62" i="4"/>
  <c r="U62" i="4"/>
  <c r="V62" i="4"/>
  <c r="W62" i="4"/>
  <c r="W113" i="4" s="1"/>
  <c r="J113" i="4" s="1"/>
  <c r="X62" i="4"/>
  <c r="Y62" i="4"/>
  <c r="Z62" i="4"/>
  <c r="AA62" i="4"/>
  <c r="P63" i="4"/>
  <c r="Q63" i="4"/>
  <c r="R63" i="4"/>
  <c r="S63" i="4"/>
  <c r="T63" i="4"/>
  <c r="U63" i="4"/>
  <c r="V63" i="4"/>
  <c r="W63" i="4"/>
  <c r="X63" i="4"/>
  <c r="Y63" i="4"/>
  <c r="Z63" i="4"/>
  <c r="AA63" i="4"/>
  <c r="P64" i="4"/>
  <c r="Q64" i="4"/>
  <c r="R64" i="4"/>
  <c r="S64" i="4"/>
  <c r="T64" i="4"/>
  <c r="U64" i="4"/>
  <c r="U113" i="4" s="1"/>
  <c r="H113" i="4" s="1"/>
  <c r="V64" i="4"/>
  <c r="W64" i="4"/>
  <c r="X64" i="4"/>
  <c r="Y64" i="4"/>
  <c r="Z64" i="4"/>
  <c r="AA64" i="4"/>
  <c r="P65" i="4"/>
  <c r="Q65" i="4"/>
  <c r="R65" i="4"/>
  <c r="S65" i="4"/>
  <c r="T65" i="4"/>
  <c r="U65" i="4"/>
  <c r="V65" i="4"/>
  <c r="W65" i="4"/>
  <c r="X65" i="4"/>
  <c r="Y65" i="4"/>
  <c r="Z65" i="4"/>
  <c r="AA65" i="4"/>
  <c r="P66" i="4"/>
  <c r="Q66" i="4"/>
  <c r="R66" i="4"/>
  <c r="S66" i="4"/>
  <c r="T66" i="4"/>
  <c r="U66" i="4"/>
  <c r="V66" i="4"/>
  <c r="W66" i="4"/>
  <c r="X66" i="4"/>
  <c r="Y66" i="4"/>
  <c r="Z66" i="4"/>
  <c r="AA66" i="4"/>
  <c r="P67" i="4"/>
  <c r="Q67" i="4"/>
  <c r="R67" i="4"/>
  <c r="S67" i="4"/>
  <c r="T67" i="4"/>
  <c r="U67" i="4"/>
  <c r="V67" i="4"/>
  <c r="W67" i="4"/>
  <c r="X67" i="4"/>
  <c r="Y67" i="4"/>
  <c r="Z67" i="4"/>
  <c r="AA67" i="4"/>
  <c r="P68" i="4"/>
  <c r="Q68" i="4"/>
  <c r="R68" i="4"/>
  <c r="S68" i="4"/>
  <c r="T68" i="4"/>
  <c r="U68" i="4"/>
  <c r="V68" i="4"/>
  <c r="W68" i="4"/>
  <c r="X68" i="4"/>
  <c r="Y68" i="4"/>
  <c r="Z68" i="4"/>
  <c r="AA68" i="4"/>
  <c r="P69" i="4"/>
  <c r="Q69" i="4"/>
  <c r="R69" i="4"/>
  <c r="S69" i="4"/>
  <c r="T69" i="4"/>
  <c r="U69" i="4"/>
  <c r="V69" i="4"/>
  <c r="W69" i="4"/>
  <c r="X69" i="4"/>
  <c r="Y69" i="4"/>
  <c r="Z69" i="4"/>
  <c r="AA69" i="4"/>
  <c r="P70" i="4"/>
  <c r="Q70" i="4"/>
  <c r="R70" i="4"/>
  <c r="S70" i="4"/>
  <c r="T70" i="4"/>
  <c r="U70" i="4"/>
  <c r="V70" i="4"/>
  <c r="W70" i="4"/>
  <c r="X70" i="4"/>
  <c r="Y70" i="4"/>
  <c r="Z70" i="4"/>
  <c r="AA70" i="4"/>
  <c r="P71" i="4"/>
  <c r="Q71" i="4"/>
  <c r="R71" i="4"/>
  <c r="S71" i="4"/>
  <c r="T71" i="4"/>
  <c r="U71" i="4"/>
  <c r="V71" i="4"/>
  <c r="W71" i="4"/>
  <c r="X71" i="4"/>
  <c r="Y71" i="4"/>
  <c r="Z71" i="4"/>
  <c r="AA71" i="4"/>
  <c r="P72" i="4"/>
  <c r="Q72" i="4"/>
  <c r="R72" i="4"/>
  <c r="S72" i="4"/>
  <c r="T72" i="4"/>
  <c r="U72" i="4"/>
  <c r="V72" i="4"/>
  <c r="W72" i="4"/>
  <c r="X72" i="4"/>
  <c r="Y72" i="4"/>
  <c r="Z72" i="4"/>
  <c r="AA72" i="4"/>
  <c r="P73" i="4"/>
  <c r="Q73" i="4"/>
  <c r="R73" i="4"/>
  <c r="S73" i="4"/>
  <c r="T73" i="4"/>
  <c r="U73" i="4"/>
  <c r="V73" i="4"/>
  <c r="W73" i="4"/>
  <c r="X73" i="4"/>
  <c r="Y73" i="4"/>
  <c r="Z73" i="4"/>
  <c r="AA73" i="4"/>
  <c r="P74" i="4"/>
  <c r="Q74" i="4"/>
  <c r="R74" i="4"/>
  <c r="S74" i="4"/>
  <c r="T74" i="4"/>
  <c r="U74" i="4"/>
  <c r="V74" i="4"/>
  <c r="W74" i="4"/>
  <c r="X74" i="4"/>
  <c r="Y74" i="4"/>
  <c r="Z74" i="4"/>
  <c r="AA74" i="4"/>
  <c r="P75" i="4"/>
  <c r="Q75" i="4"/>
  <c r="R75" i="4"/>
  <c r="S75" i="4"/>
  <c r="T75" i="4"/>
  <c r="U75" i="4"/>
  <c r="V75" i="4"/>
  <c r="W75" i="4"/>
  <c r="X75" i="4"/>
  <c r="Y75" i="4"/>
  <c r="Z75" i="4"/>
  <c r="AA75" i="4"/>
  <c r="P76" i="4"/>
  <c r="Q76" i="4"/>
  <c r="R76" i="4"/>
  <c r="S76" i="4"/>
  <c r="T76" i="4"/>
  <c r="U76" i="4"/>
  <c r="V76" i="4"/>
  <c r="W76" i="4"/>
  <c r="X76" i="4"/>
  <c r="Y76" i="4"/>
  <c r="Z76" i="4"/>
  <c r="AA76" i="4"/>
  <c r="P77" i="4"/>
  <c r="Q77" i="4"/>
  <c r="R77" i="4"/>
  <c r="S77" i="4"/>
  <c r="T77" i="4"/>
  <c r="U77" i="4"/>
  <c r="V77" i="4"/>
  <c r="W77" i="4"/>
  <c r="X77" i="4"/>
  <c r="Y77" i="4"/>
  <c r="Z77" i="4"/>
  <c r="AA77" i="4"/>
  <c r="P78" i="4"/>
  <c r="Q78" i="4"/>
  <c r="R78" i="4"/>
  <c r="S78" i="4"/>
  <c r="T78" i="4"/>
  <c r="U78" i="4"/>
  <c r="V78" i="4"/>
  <c r="W78" i="4"/>
  <c r="X78" i="4"/>
  <c r="Y78" i="4"/>
  <c r="Z78" i="4"/>
  <c r="AA78" i="4"/>
  <c r="P79" i="4"/>
  <c r="Q79" i="4"/>
  <c r="R79" i="4"/>
  <c r="S79" i="4"/>
  <c r="T79" i="4"/>
  <c r="U79" i="4"/>
  <c r="V79" i="4"/>
  <c r="W79" i="4"/>
  <c r="X79" i="4"/>
  <c r="Y79" i="4"/>
  <c r="Z79" i="4"/>
  <c r="AA79" i="4"/>
  <c r="P80" i="4"/>
  <c r="Q80" i="4"/>
  <c r="R80" i="4"/>
  <c r="S80" i="4"/>
  <c r="T80" i="4"/>
  <c r="U80" i="4"/>
  <c r="V80" i="4"/>
  <c r="W80" i="4"/>
  <c r="X80" i="4"/>
  <c r="Y80" i="4"/>
  <c r="Z80" i="4"/>
  <c r="AA80" i="4"/>
  <c r="P81" i="4"/>
  <c r="Q81" i="4"/>
  <c r="R81" i="4"/>
  <c r="S81" i="4"/>
  <c r="T81" i="4"/>
  <c r="U81" i="4"/>
  <c r="V81" i="4"/>
  <c r="W81" i="4"/>
  <c r="X81" i="4"/>
  <c r="Y81" i="4"/>
  <c r="Z81" i="4"/>
  <c r="AA81" i="4"/>
  <c r="P82" i="4"/>
  <c r="Q82" i="4"/>
  <c r="R82" i="4"/>
  <c r="S82" i="4"/>
  <c r="T82" i="4"/>
  <c r="U82" i="4"/>
  <c r="V82" i="4"/>
  <c r="W82" i="4"/>
  <c r="X82" i="4"/>
  <c r="Y82" i="4"/>
  <c r="Z82" i="4"/>
  <c r="AA82" i="4"/>
  <c r="P83" i="4"/>
  <c r="Q83" i="4"/>
  <c r="R83" i="4"/>
  <c r="S83" i="4"/>
  <c r="T83" i="4"/>
  <c r="U83" i="4"/>
  <c r="V83" i="4"/>
  <c r="W83" i="4"/>
  <c r="X83" i="4"/>
  <c r="Y83" i="4"/>
  <c r="Z83" i="4"/>
  <c r="AA83" i="4"/>
  <c r="P84" i="4"/>
  <c r="Q84" i="4"/>
  <c r="R84" i="4"/>
  <c r="S84" i="4"/>
  <c r="T84" i="4"/>
  <c r="U84" i="4"/>
  <c r="V84" i="4"/>
  <c r="W84" i="4"/>
  <c r="X84" i="4"/>
  <c r="Y84" i="4"/>
  <c r="Z84" i="4"/>
  <c r="AA84" i="4"/>
  <c r="P85" i="4"/>
  <c r="Q85" i="4"/>
  <c r="R85" i="4"/>
  <c r="S85" i="4"/>
  <c r="T85" i="4"/>
  <c r="U85" i="4"/>
  <c r="V85" i="4"/>
  <c r="W85" i="4"/>
  <c r="X85" i="4"/>
  <c r="Y85" i="4"/>
  <c r="Z85" i="4"/>
  <c r="AA85" i="4"/>
  <c r="P86" i="4"/>
  <c r="Q86" i="4"/>
  <c r="R86" i="4"/>
  <c r="S86" i="4"/>
  <c r="T86" i="4"/>
  <c r="U86" i="4"/>
  <c r="V86" i="4"/>
  <c r="W86" i="4"/>
  <c r="X86" i="4"/>
  <c r="Y86" i="4"/>
  <c r="Z86" i="4"/>
  <c r="AA86" i="4"/>
  <c r="P87" i="4"/>
  <c r="Q87" i="4"/>
  <c r="R87" i="4"/>
  <c r="S87" i="4"/>
  <c r="T87" i="4"/>
  <c r="U87" i="4"/>
  <c r="V87" i="4"/>
  <c r="W87" i="4"/>
  <c r="X87" i="4"/>
  <c r="Y87" i="4"/>
  <c r="Z87" i="4"/>
  <c r="AA87" i="4"/>
  <c r="P88" i="4"/>
  <c r="Q88" i="4"/>
  <c r="R88" i="4"/>
  <c r="S88" i="4"/>
  <c r="T88" i="4"/>
  <c r="U88" i="4"/>
  <c r="V88" i="4"/>
  <c r="W88" i="4"/>
  <c r="X88" i="4"/>
  <c r="Y88" i="4"/>
  <c r="Z88" i="4"/>
  <c r="AA88" i="4"/>
  <c r="P89" i="4"/>
  <c r="Q89" i="4"/>
  <c r="R89" i="4"/>
  <c r="S89" i="4"/>
  <c r="T89" i="4"/>
  <c r="U89" i="4"/>
  <c r="V89" i="4"/>
  <c r="W89" i="4"/>
  <c r="X89" i="4"/>
  <c r="Y89" i="4"/>
  <c r="Z89" i="4"/>
  <c r="AA89" i="4"/>
  <c r="P90" i="4"/>
  <c r="Q90" i="4"/>
  <c r="R90" i="4"/>
  <c r="S90" i="4"/>
  <c r="T90" i="4"/>
  <c r="U90" i="4"/>
  <c r="V90" i="4"/>
  <c r="W90" i="4"/>
  <c r="X90" i="4"/>
  <c r="Y90" i="4"/>
  <c r="Z90" i="4"/>
  <c r="AA90" i="4"/>
  <c r="P91" i="4"/>
  <c r="Q91" i="4"/>
  <c r="R91" i="4"/>
  <c r="S91" i="4"/>
  <c r="T91" i="4"/>
  <c r="U91" i="4"/>
  <c r="V91" i="4"/>
  <c r="W91" i="4"/>
  <c r="X91" i="4"/>
  <c r="Y91" i="4"/>
  <c r="Z91" i="4"/>
  <c r="AA91" i="4"/>
  <c r="P92" i="4"/>
  <c r="Q92" i="4"/>
  <c r="R92" i="4"/>
  <c r="S92" i="4"/>
  <c r="T92" i="4"/>
  <c r="U92" i="4"/>
  <c r="V92" i="4"/>
  <c r="W92" i="4"/>
  <c r="X92" i="4"/>
  <c r="Y92" i="4"/>
  <c r="Z92" i="4"/>
  <c r="AA92" i="4"/>
  <c r="P93" i="4"/>
  <c r="Q93" i="4"/>
  <c r="R93" i="4"/>
  <c r="S93" i="4"/>
  <c r="T93" i="4"/>
  <c r="U93" i="4"/>
  <c r="V93" i="4"/>
  <c r="W93" i="4"/>
  <c r="X93" i="4"/>
  <c r="Y93" i="4"/>
  <c r="Z93" i="4"/>
  <c r="AA93" i="4"/>
  <c r="P94" i="4"/>
  <c r="Q94" i="4"/>
  <c r="R94" i="4"/>
  <c r="S94" i="4"/>
  <c r="T94" i="4"/>
  <c r="U94" i="4"/>
  <c r="V94" i="4"/>
  <c r="W94" i="4"/>
  <c r="X94" i="4"/>
  <c r="Y94" i="4"/>
  <c r="Z94" i="4"/>
  <c r="AA94" i="4"/>
  <c r="P95" i="4"/>
  <c r="Q95" i="4"/>
  <c r="R95" i="4"/>
  <c r="S95" i="4"/>
  <c r="T95" i="4"/>
  <c r="U95" i="4"/>
  <c r="V95" i="4"/>
  <c r="W95" i="4"/>
  <c r="X95" i="4"/>
  <c r="Y95" i="4"/>
  <c r="Z95" i="4"/>
  <c r="AA95" i="4"/>
  <c r="P96" i="4"/>
  <c r="Q96" i="4"/>
  <c r="R96" i="4"/>
  <c r="S96" i="4"/>
  <c r="T96" i="4"/>
  <c r="U96" i="4"/>
  <c r="V96" i="4"/>
  <c r="W96" i="4"/>
  <c r="X96" i="4"/>
  <c r="Y96" i="4"/>
  <c r="Z96" i="4"/>
  <c r="AA96" i="4"/>
  <c r="P97" i="4"/>
  <c r="Q97" i="4"/>
  <c r="R97" i="4"/>
  <c r="S97" i="4"/>
  <c r="T97" i="4"/>
  <c r="U97" i="4"/>
  <c r="V97" i="4"/>
  <c r="W97" i="4"/>
  <c r="X97" i="4"/>
  <c r="Y97" i="4"/>
  <c r="Z97" i="4"/>
  <c r="AA97" i="4"/>
  <c r="P98" i="4"/>
  <c r="Q98" i="4"/>
  <c r="R98" i="4"/>
  <c r="S98" i="4"/>
  <c r="T98" i="4"/>
  <c r="U98" i="4"/>
  <c r="V98" i="4"/>
  <c r="W98" i="4"/>
  <c r="X98" i="4"/>
  <c r="Y98" i="4"/>
  <c r="Z98" i="4"/>
  <c r="AA98" i="4"/>
  <c r="P99" i="4"/>
  <c r="Q99" i="4"/>
  <c r="R99" i="4"/>
  <c r="S99" i="4"/>
  <c r="T99" i="4"/>
  <c r="U99" i="4"/>
  <c r="V99" i="4"/>
  <c r="W99" i="4"/>
  <c r="X99" i="4"/>
  <c r="Y99" i="4"/>
  <c r="Z99" i="4"/>
  <c r="AA99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P111" i="4"/>
  <c r="Q111" i="4"/>
  <c r="R111" i="4"/>
  <c r="S111" i="4"/>
  <c r="T111" i="4"/>
  <c r="U111" i="4"/>
  <c r="V111" i="4"/>
  <c r="W111" i="4"/>
  <c r="X111" i="4"/>
  <c r="Y111" i="4"/>
  <c r="Z111" i="4"/>
  <c r="AA111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Q61" i="4"/>
  <c r="R61" i="4"/>
  <c r="S61" i="4"/>
  <c r="T61" i="4"/>
  <c r="U61" i="4"/>
  <c r="V61" i="4"/>
  <c r="W61" i="4"/>
  <c r="X61" i="4"/>
  <c r="Y61" i="4"/>
  <c r="Z61" i="4"/>
  <c r="AA61" i="4"/>
  <c r="P61" i="4"/>
  <c r="AA54" i="4"/>
  <c r="Z54" i="4"/>
  <c r="Y54" i="4"/>
  <c r="X54" i="4"/>
  <c r="W54" i="4"/>
  <c r="V54" i="4"/>
  <c r="U54" i="4"/>
  <c r="T54" i="4"/>
  <c r="S54" i="4"/>
  <c r="R54" i="4"/>
  <c r="Q54" i="4"/>
  <c r="P54" i="4"/>
  <c r="AA53" i="4"/>
  <c r="Z53" i="4"/>
  <c r="Y53" i="4"/>
  <c r="X53" i="4"/>
  <c r="W53" i="4"/>
  <c r="V53" i="4"/>
  <c r="U53" i="4"/>
  <c r="T53" i="4"/>
  <c r="S53" i="4"/>
  <c r="R53" i="4"/>
  <c r="Q53" i="4"/>
  <c r="P53" i="4"/>
  <c r="AA52" i="4"/>
  <c r="Z52" i="4"/>
  <c r="Y52" i="4"/>
  <c r="X52" i="4"/>
  <c r="W52" i="4"/>
  <c r="V52" i="4"/>
  <c r="U52" i="4"/>
  <c r="T52" i="4"/>
  <c r="S52" i="4"/>
  <c r="R52" i="4"/>
  <c r="Q52" i="4"/>
  <c r="P52" i="4"/>
  <c r="AA51" i="4"/>
  <c r="Z51" i="4"/>
  <c r="Y51" i="4"/>
  <c r="X51" i="4"/>
  <c r="W51" i="4"/>
  <c r="V51" i="4"/>
  <c r="U51" i="4"/>
  <c r="T51" i="4"/>
  <c r="S51" i="4"/>
  <c r="R51" i="4"/>
  <c r="Q51" i="4"/>
  <c r="P51" i="4"/>
  <c r="AA50" i="4"/>
  <c r="Z50" i="4"/>
  <c r="Y50" i="4"/>
  <c r="X50" i="4"/>
  <c r="W50" i="4"/>
  <c r="V50" i="4"/>
  <c r="U50" i="4"/>
  <c r="T50" i="4"/>
  <c r="S50" i="4"/>
  <c r="R50" i="4"/>
  <c r="Q50" i="4"/>
  <c r="P50" i="4"/>
  <c r="AA49" i="4"/>
  <c r="Z49" i="4"/>
  <c r="Y49" i="4"/>
  <c r="X49" i="4"/>
  <c r="W49" i="4"/>
  <c r="V49" i="4"/>
  <c r="U49" i="4"/>
  <c r="T49" i="4"/>
  <c r="S49" i="4"/>
  <c r="R49" i="4"/>
  <c r="Q49" i="4"/>
  <c r="P49" i="4"/>
  <c r="AA48" i="4"/>
  <c r="Z48" i="4"/>
  <c r="Y48" i="4"/>
  <c r="X48" i="4"/>
  <c r="W48" i="4"/>
  <c r="V48" i="4"/>
  <c r="U48" i="4"/>
  <c r="T48" i="4"/>
  <c r="S48" i="4"/>
  <c r="R48" i="4"/>
  <c r="Q48" i="4"/>
  <c r="P48" i="4"/>
  <c r="AA47" i="4"/>
  <c r="Z47" i="4"/>
  <c r="Y47" i="4"/>
  <c r="X47" i="4"/>
  <c r="W47" i="4"/>
  <c r="V47" i="4"/>
  <c r="U47" i="4"/>
  <c r="T47" i="4"/>
  <c r="S47" i="4"/>
  <c r="R47" i="4"/>
  <c r="Q47" i="4"/>
  <c r="P47" i="4"/>
  <c r="AA46" i="4"/>
  <c r="Z46" i="4"/>
  <c r="Y46" i="4"/>
  <c r="X46" i="4"/>
  <c r="W46" i="4"/>
  <c r="V46" i="4"/>
  <c r="U46" i="4"/>
  <c r="T46" i="4"/>
  <c r="S46" i="4"/>
  <c r="R46" i="4"/>
  <c r="Q46" i="4"/>
  <c r="P46" i="4"/>
  <c r="AA45" i="4"/>
  <c r="Z45" i="4"/>
  <c r="Y45" i="4"/>
  <c r="X45" i="4"/>
  <c r="W45" i="4"/>
  <c r="V45" i="4"/>
  <c r="U45" i="4"/>
  <c r="T45" i="4"/>
  <c r="S45" i="4"/>
  <c r="R45" i="4"/>
  <c r="Q45" i="4"/>
  <c r="P45" i="4"/>
  <c r="AA44" i="4"/>
  <c r="Z44" i="4"/>
  <c r="Y44" i="4"/>
  <c r="X44" i="4"/>
  <c r="W44" i="4"/>
  <c r="V44" i="4"/>
  <c r="U44" i="4"/>
  <c r="T44" i="4"/>
  <c r="S44" i="4"/>
  <c r="R44" i="4"/>
  <c r="Q44" i="4"/>
  <c r="P44" i="4"/>
  <c r="AA43" i="4"/>
  <c r="Z43" i="4"/>
  <c r="Y43" i="4"/>
  <c r="X43" i="4"/>
  <c r="W43" i="4"/>
  <c r="V43" i="4"/>
  <c r="U43" i="4"/>
  <c r="T43" i="4"/>
  <c r="S43" i="4"/>
  <c r="R43" i="4"/>
  <c r="Q43" i="4"/>
  <c r="P43" i="4"/>
  <c r="AA42" i="4"/>
  <c r="Z42" i="4"/>
  <c r="Y42" i="4"/>
  <c r="X42" i="4"/>
  <c r="W42" i="4"/>
  <c r="V42" i="4"/>
  <c r="U42" i="4"/>
  <c r="T42" i="4"/>
  <c r="S42" i="4"/>
  <c r="R42" i="4"/>
  <c r="Q42" i="4"/>
  <c r="P42" i="4"/>
  <c r="AA41" i="4"/>
  <c r="Z41" i="4"/>
  <c r="Y41" i="4"/>
  <c r="X41" i="4"/>
  <c r="W41" i="4"/>
  <c r="V41" i="4"/>
  <c r="U41" i="4"/>
  <c r="T41" i="4"/>
  <c r="S41" i="4"/>
  <c r="R41" i="4"/>
  <c r="Q41" i="4"/>
  <c r="P41" i="4"/>
  <c r="AA40" i="4"/>
  <c r="Z40" i="4"/>
  <c r="Y40" i="4"/>
  <c r="X40" i="4"/>
  <c r="W40" i="4"/>
  <c r="V40" i="4"/>
  <c r="U40" i="4"/>
  <c r="T40" i="4"/>
  <c r="S40" i="4"/>
  <c r="R40" i="4"/>
  <c r="Q40" i="4"/>
  <c r="P40" i="4"/>
  <c r="AA39" i="4"/>
  <c r="Z39" i="4"/>
  <c r="Y39" i="4"/>
  <c r="X39" i="4"/>
  <c r="W39" i="4"/>
  <c r="V39" i="4"/>
  <c r="U39" i="4"/>
  <c r="T39" i="4"/>
  <c r="S39" i="4"/>
  <c r="R39" i="4"/>
  <c r="Q39" i="4"/>
  <c r="P39" i="4"/>
  <c r="AA38" i="4"/>
  <c r="Z38" i="4"/>
  <c r="Y38" i="4"/>
  <c r="X38" i="4"/>
  <c r="W38" i="4"/>
  <c r="V38" i="4"/>
  <c r="U38" i="4"/>
  <c r="T38" i="4"/>
  <c r="S38" i="4"/>
  <c r="R38" i="4"/>
  <c r="Q38" i="4"/>
  <c r="P38" i="4"/>
  <c r="AA37" i="4"/>
  <c r="Z37" i="4"/>
  <c r="Y37" i="4"/>
  <c r="X37" i="4"/>
  <c r="W37" i="4"/>
  <c r="V37" i="4"/>
  <c r="U37" i="4"/>
  <c r="T37" i="4"/>
  <c r="S37" i="4"/>
  <c r="R37" i="4"/>
  <c r="Q37" i="4"/>
  <c r="P37" i="4"/>
  <c r="AA36" i="4"/>
  <c r="Z36" i="4"/>
  <c r="Y36" i="4"/>
  <c r="X36" i="4"/>
  <c r="W36" i="4"/>
  <c r="V36" i="4"/>
  <c r="U36" i="4"/>
  <c r="T36" i="4"/>
  <c r="S36" i="4"/>
  <c r="R36" i="4"/>
  <c r="Q36" i="4"/>
  <c r="P36" i="4"/>
  <c r="AA35" i="4"/>
  <c r="Z35" i="4"/>
  <c r="Y35" i="4"/>
  <c r="X35" i="4"/>
  <c r="W35" i="4"/>
  <c r="V35" i="4"/>
  <c r="U35" i="4"/>
  <c r="T35" i="4"/>
  <c r="S35" i="4"/>
  <c r="R35" i="4"/>
  <c r="Q35" i="4"/>
  <c r="P35" i="4"/>
  <c r="AA34" i="4"/>
  <c r="Z34" i="4"/>
  <c r="Y34" i="4"/>
  <c r="X34" i="4"/>
  <c r="W34" i="4"/>
  <c r="V34" i="4"/>
  <c r="U34" i="4"/>
  <c r="T34" i="4"/>
  <c r="S34" i="4"/>
  <c r="R34" i="4"/>
  <c r="Q34" i="4"/>
  <c r="P34" i="4"/>
  <c r="AA33" i="4"/>
  <c r="Z33" i="4"/>
  <c r="Y33" i="4"/>
  <c r="X33" i="4"/>
  <c r="W33" i="4"/>
  <c r="V33" i="4"/>
  <c r="U33" i="4"/>
  <c r="T33" i="4"/>
  <c r="S33" i="4"/>
  <c r="R33" i="4"/>
  <c r="Q33" i="4"/>
  <c r="P33" i="4"/>
  <c r="AA32" i="4"/>
  <c r="Z32" i="4"/>
  <c r="Y32" i="4"/>
  <c r="X32" i="4"/>
  <c r="W32" i="4"/>
  <c r="V32" i="4"/>
  <c r="U32" i="4"/>
  <c r="T32" i="4"/>
  <c r="S32" i="4"/>
  <c r="R32" i="4"/>
  <c r="Q32" i="4"/>
  <c r="P32" i="4"/>
  <c r="AA31" i="4"/>
  <c r="Z31" i="4"/>
  <c r="Y31" i="4"/>
  <c r="X31" i="4"/>
  <c r="W31" i="4"/>
  <c r="V31" i="4"/>
  <c r="U31" i="4"/>
  <c r="T31" i="4"/>
  <c r="S31" i="4"/>
  <c r="R31" i="4"/>
  <c r="Q31" i="4"/>
  <c r="P31" i="4"/>
  <c r="AA30" i="4"/>
  <c r="Z30" i="4"/>
  <c r="Y30" i="4"/>
  <c r="X30" i="4"/>
  <c r="W30" i="4"/>
  <c r="V30" i="4"/>
  <c r="U30" i="4"/>
  <c r="T30" i="4"/>
  <c r="S30" i="4"/>
  <c r="R30" i="4"/>
  <c r="Q30" i="4"/>
  <c r="P30" i="4"/>
  <c r="AA29" i="4"/>
  <c r="Z29" i="4"/>
  <c r="Y29" i="4"/>
  <c r="X29" i="4"/>
  <c r="W29" i="4"/>
  <c r="V29" i="4"/>
  <c r="U29" i="4"/>
  <c r="T29" i="4"/>
  <c r="S29" i="4"/>
  <c r="R29" i="4"/>
  <c r="Q29" i="4"/>
  <c r="P29" i="4"/>
  <c r="AA28" i="4"/>
  <c r="Z28" i="4"/>
  <c r="Y28" i="4"/>
  <c r="X28" i="4"/>
  <c r="W28" i="4"/>
  <c r="V28" i="4"/>
  <c r="U28" i="4"/>
  <c r="T28" i="4"/>
  <c r="S28" i="4"/>
  <c r="R28" i="4"/>
  <c r="Q28" i="4"/>
  <c r="P28" i="4"/>
  <c r="AA27" i="4"/>
  <c r="Z27" i="4"/>
  <c r="Y27" i="4"/>
  <c r="X27" i="4"/>
  <c r="W27" i="4"/>
  <c r="V27" i="4"/>
  <c r="U27" i="4"/>
  <c r="T27" i="4"/>
  <c r="S27" i="4"/>
  <c r="R27" i="4"/>
  <c r="Q27" i="4"/>
  <c r="P27" i="4"/>
  <c r="AA26" i="4"/>
  <c r="Z26" i="4"/>
  <c r="Y26" i="4"/>
  <c r="X26" i="4"/>
  <c r="W26" i="4"/>
  <c r="V26" i="4"/>
  <c r="U26" i="4"/>
  <c r="T26" i="4"/>
  <c r="S26" i="4"/>
  <c r="R26" i="4"/>
  <c r="Q26" i="4"/>
  <c r="P26" i="4"/>
  <c r="AA25" i="4"/>
  <c r="Z25" i="4"/>
  <c r="Y25" i="4"/>
  <c r="X25" i="4"/>
  <c r="W25" i="4"/>
  <c r="V25" i="4"/>
  <c r="U25" i="4"/>
  <c r="T25" i="4"/>
  <c r="S25" i="4"/>
  <c r="R25" i="4"/>
  <c r="Q25" i="4"/>
  <c r="P25" i="4"/>
  <c r="AA24" i="4"/>
  <c r="Z24" i="4"/>
  <c r="Y24" i="4"/>
  <c r="X24" i="4"/>
  <c r="W24" i="4"/>
  <c r="V24" i="4"/>
  <c r="U24" i="4"/>
  <c r="T24" i="4"/>
  <c r="S24" i="4"/>
  <c r="R24" i="4"/>
  <c r="Q24" i="4"/>
  <c r="P24" i="4"/>
  <c r="AA23" i="4"/>
  <c r="Z23" i="4"/>
  <c r="Y23" i="4"/>
  <c r="X23" i="4"/>
  <c r="W23" i="4"/>
  <c r="V23" i="4"/>
  <c r="U23" i="4"/>
  <c r="T23" i="4"/>
  <c r="S23" i="4"/>
  <c r="R23" i="4"/>
  <c r="Q23" i="4"/>
  <c r="P23" i="4"/>
  <c r="AA22" i="4"/>
  <c r="Z22" i="4"/>
  <c r="Y22" i="4"/>
  <c r="X22" i="4"/>
  <c r="W22" i="4"/>
  <c r="V22" i="4"/>
  <c r="U22" i="4"/>
  <c r="T22" i="4"/>
  <c r="S22" i="4"/>
  <c r="R22" i="4"/>
  <c r="Q22" i="4"/>
  <c r="P22" i="4"/>
  <c r="AA21" i="4"/>
  <c r="Z21" i="4"/>
  <c r="Y21" i="4"/>
  <c r="X21" i="4"/>
  <c r="W21" i="4"/>
  <c r="V21" i="4"/>
  <c r="U21" i="4"/>
  <c r="T21" i="4"/>
  <c r="S21" i="4"/>
  <c r="R21" i="4"/>
  <c r="Q21" i="4"/>
  <c r="P21" i="4"/>
  <c r="AA20" i="4"/>
  <c r="Z20" i="4"/>
  <c r="Y20" i="4"/>
  <c r="X20" i="4"/>
  <c r="W20" i="4"/>
  <c r="V20" i="4"/>
  <c r="U20" i="4"/>
  <c r="T20" i="4"/>
  <c r="S20" i="4"/>
  <c r="R20" i="4"/>
  <c r="Q20" i="4"/>
  <c r="P20" i="4"/>
  <c r="AA19" i="4"/>
  <c r="Z19" i="4"/>
  <c r="Y19" i="4"/>
  <c r="X19" i="4"/>
  <c r="W19" i="4"/>
  <c r="V19" i="4"/>
  <c r="U19" i="4"/>
  <c r="T19" i="4"/>
  <c r="S19" i="4"/>
  <c r="R19" i="4"/>
  <c r="Q19" i="4"/>
  <c r="P19" i="4"/>
  <c r="AA18" i="4"/>
  <c r="Z18" i="4"/>
  <c r="Y18" i="4"/>
  <c r="X18" i="4"/>
  <c r="W18" i="4"/>
  <c r="V18" i="4"/>
  <c r="U18" i="4"/>
  <c r="T18" i="4"/>
  <c r="S18" i="4"/>
  <c r="R18" i="4"/>
  <c r="Q18" i="4"/>
  <c r="P18" i="4"/>
  <c r="AA17" i="4"/>
  <c r="Z17" i="4"/>
  <c r="Y17" i="4"/>
  <c r="X17" i="4"/>
  <c r="W17" i="4"/>
  <c r="V17" i="4"/>
  <c r="U17" i="4"/>
  <c r="T17" i="4"/>
  <c r="S17" i="4"/>
  <c r="R17" i="4"/>
  <c r="Q17" i="4"/>
  <c r="P17" i="4"/>
  <c r="AA16" i="4"/>
  <c r="Z16" i="4"/>
  <c r="Y16" i="4"/>
  <c r="X16" i="4"/>
  <c r="W16" i="4"/>
  <c r="V16" i="4"/>
  <c r="U16" i="4"/>
  <c r="T16" i="4"/>
  <c r="S16" i="4"/>
  <c r="R16" i="4"/>
  <c r="Q16" i="4"/>
  <c r="P16" i="4"/>
  <c r="AA15" i="4"/>
  <c r="Z15" i="4"/>
  <c r="Y15" i="4"/>
  <c r="X15" i="4"/>
  <c r="W15" i="4"/>
  <c r="V15" i="4"/>
  <c r="U15" i="4"/>
  <c r="T15" i="4"/>
  <c r="S15" i="4"/>
  <c r="R15" i="4"/>
  <c r="Q15" i="4"/>
  <c r="P15" i="4"/>
  <c r="AA14" i="4"/>
  <c r="Z14" i="4"/>
  <c r="Y14" i="4"/>
  <c r="X14" i="4"/>
  <c r="W14" i="4"/>
  <c r="V14" i="4"/>
  <c r="U14" i="4"/>
  <c r="T14" i="4"/>
  <c r="S14" i="4"/>
  <c r="R14" i="4"/>
  <c r="Q14" i="4"/>
  <c r="P14" i="4"/>
  <c r="AA13" i="4"/>
  <c r="Z13" i="4"/>
  <c r="Y13" i="4"/>
  <c r="X13" i="4"/>
  <c r="W13" i="4"/>
  <c r="V13" i="4"/>
  <c r="U13" i="4"/>
  <c r="T13" i="4"/>
  <c r="S13" i="4"/>
  <c r="R13" i="4"/>
  <c r="Q13" i="4"/>
  <c r="P13" i="4"/>
  <c r="AA12" i="4"/>
  <c r="Z12" i="4"/>
  <c r="Y12" i="4"/>
  <c r="X12" i="4"/>
  <c r="W12" i="4"/>
  <c r="V12" i="4"/>
  <c r="U12" i="4"/>
  <c r="T12" i="4"/>
  <c r="S12" i="4"/>
  <c r="R12" i="4"/>
  <c r="Q12" i="4"/>
  <c r="P12" i="4"/>
  <c r="AA11" i="4"/>
  <c r="Z11" i="4"/>
  <c r="Y11" i="4"/>
  <c r="X11" i="4"/>
  <c r="W11" i="4"/>
  <c r="V11" i="4"/>
  <c r="U11" i="4"/>
  <c r="T11" i="4"/>
  <c r="S11" i="4"/>
  <c r="R11" i="4"/>
  <c r="Q11" i="4"/>
  <c r="P11" i="4"/>
  <c r="AA10" i="4"/>
  <c r="Z10" i="4"/>
  <c r="Y10" i="4"/>
  <c r="X10" i="4"/>
  <c r="W10" i="4"/>
  <c r="V10" i="4"/>
  <c r="U10" i="4"/>
  <c r="T10" i="4"/>
  <c r="S10" i="4"/>
  <c r="R10" i="4"/>
  <c r="Q10" i="4"/>
  <c r="P10" i="4"/>
  <c r="AA9" i="4"/>
  <c r="Z9" i="4"/>
  <c r="Y9" i="4"/>
  <c r="X9" i="4"/>
  <c r="W9" i="4"/>
  <c r="V9" i="4"/>
  <c r="U9" i="4"/>
  <c r="T9" i="4"/>
  <c r="S9" i="4"/>
  <c r="R9" i="4"/>
  <c r="Q9" i="4"/>
  <c r="P9" i="4"/>
  <c r="AA8" i="4"/>
  <c r="Z8" i="4"/>
  <c r="Y8" i="4"/>
  <c r="X8" i="4"/>
  <c r="W8" i="4"/>
  <c r="V8" i="4"/>
  <c r="U8" i="4"/>
  <c r="T8" i="4"/>
  <c r="S8" i="4"/>
  <c r="R8" i="4"/>
  <c r="Q8" i="4"/>
  <c r="P8" i="4"/>
  <c r="AA7" i="4"/>
  <c r="Z7" i="4"/>
  <c r="Y7" i="4"/>
  <c r="X7" i="4"/>
  <c r="W7" i="4"/>
  <c r="V7" i="4"/>
  <c r="U7" i="4"/>
  <c r="T7" i="4"/>
  <c r="S7" i="4"/>
  <c r="R7" i="4"/>
  <c r="Q7" i="4"/>
  <c r="P7" i="4"/>
  <c r="AA6" i="4"/>
  <c r="Z6" i="4"/>
  <c r="Y6" i="4"/>
  <c r="X6" i="4"/>
  <c r="W6" i="4"/>
  <c r="V6" i="4"/>
  <c r="U6" i="4"/>
  <c r="T6" i="4"/>
  <c r="S6" i="4"/>
  <c r="R6" i="4"/>
  <c r="Q6" i="4"/>
  <c r="P6" i="4"/>
  <c r="AA5" i="4"/>
  <c r="Z5" i="4"/>
  <c r="Y5" i="4"/>
  <c r="X5" i="4"/>
  <c r="W5" i="4"/>
  <c r="V5" i="4"/>
  <c r="U5" i="4"/>
  <c r="T5" i="4"/>
  <c r="S5" i="4"/>
  <c r="R5" i="4"/>
  <c r="Q5" i="4"/>
  <c r="P5" i="4"/>
  <c r="AA4" i="4"/>
  <c r="Z4" i="4"/>
  <c r="Y4" i="4"/>
  <c r="X4" i="4"/>
  <c r="W4" i="4"/>
  <c r="V4" i="4"/>
  <c r="U4" i="4"/>
  <c r="T4" i="4"/>
  <c r="S4" i="4"/>
  <c r="R4" i="4"/>
  <c r="Q4" i="4"/>
  <c r="P4" i="4"/>
  <c r="AA3" i="4"/>
  <c r="Z3" i="4"/>
  <c r="Y3" i="4"/>
  <c r="X3" i="4"/>
  <c r="W3" i="4"/>
  <c r="V3" i="4"/>
  <c r="U3" i="4"/>
  <c r="T3" i="4"/>
  <c r="S3" i="4"/>
  <c r="R3" i="4"/>
  <c r="Q3" i="4"/>
  <c r="P3" i="4"/>
  <c r="AA54" i="3"/>
  <c r="Z54" i="3"/>
  <c r="Y54" i="3"/>
  <c r="X54" i="3"/>
  <c r="W54" i="3"/>
  <c r="V54" i="3"/>
  <c r="U54" i="3"/>
  <c r="T54" i="3"/>
  <c r="S54" i="3"/>
  <c r="R54" i="3"/>
  <c r="Q54" i="3"/>
  <c r="P54" i="3"/>
  <c r="AA53" i="3"/>
  <c r="Z53" i="3"/>
  <c r="Y53" i="3"/>
  <c r="X53" i="3"/>
  <c r="W53" i="3"/>
  <c r="V53" i="3"/>
  <c r="U53" i="3"/>
  <c r="T53" i="3"/>
  <c r="S53" i="3"/>
  <c r="R53" i="3"/>
  <c r="Q53" i="3"/>
  <c r="P53" i="3"/>
  <c r="AA52" i="3"/>
  <c r="Z52" i="3"/>
  <c r="Y52" i="3"/>
  <c r="X52" i="3"/>
  <c r="W52" i="3"/>
  <c r="V52" i="3"/>
  <c r="U52" i="3"/>
  <c r="T52" i="3"/>
  <c r="S52" i="3"/>
  <c r="R52" i="3"/>
  <c r="Q52" i="3"/>
  <c r="P52" i="3"/>
  <c r="AA51" i="3"/>
  <c r="Z51" i="3"/>
  <c r="Y51" i="3"/>
  <c r="X51" i="3"/>
  <c r="W51" i="3"/>
  <c r="V51" i="3"/>
  <c r="U51" i="3"/>
  <c r="T51" i="3"/>
  <c r="S51" i="3"/>
  <c r="R51" i="3"/>
  <c r="Q51" i="3"/>
  <c r="P51" i="3"/>
  <c r="AA50" i="3"/>
  <c r="Z50" i="3"/>
  <c r="Y50" i="3"/>
  <c r="X50" i="3"/>
  <c r="W50" i="3"/>
  <c r="V50" i="3"/>
  <c r="U50" i="3"/>
  <c r="T50" i="3"/>
  <c r="S50" i="3"/>
  <c r="R50" i="3"/>
  <c r="Q50" i="3"/>
  <c r="P50" i="3"/>
  <c r="AA49" i="3"/>
  <c r="Z49" i="3"/>
  <c r="Y49" i="3"/>
  <c r="X49" i="3"/>
  <c r="W49" i="3"/>
  <c r="V49" i="3"/>
  <c r="U49" i="3"/>
  <c r="T49" i="3"/>
  <c r="S49" i="3"/>
  <c r="R49" i="3"/>
  <c r="Q49" i="3"/>
  <c r="P49" i="3"/>
  <c r="AA48" i="3"/>
  <c r="Z48" i="3"/>
  <c r="Y48" i="3"/>
  <c r="X48" i="3"/>
  <c r="W48" i="3"/>
  <c r="V48" i="3"/>
  <c r="U48" i="3"/>
  <c r="T48" i="3"/>
  <c r="S48" i="3"/>
  <c r="R48" i="3"/>
  <c r="Q48" i="3"/>
  <c r="P48" i="3"/>
  <c r="AA47" i="3"/>
  <c r="Z47" i="3"/>
  <c r="Y47" i="3"/>
  <c r="X47" i="3"/>
  <c r="W47" i="3"/>
  <c r="V47" i="3"/>
  <c r="U47" i="3"/>
  <c r="T47" i="3"/>
  <c r="S47" i="3"/>
  <c r="R47" i="3"/>
  <c r="Q47" i="3"/>
  <c r="P47" i="3"/>
  <c r="AA46" i="3"/>
  <c r="Z46" i="3"/>
  <c r="Y46" i="3"/>
  <c r="X46" i="3"/>
  <c r="W46" i="3"/>
  <c r="V46" i="3"/>
  <c r="U46" i="3"/>
  <c r="T46" i="3"/>
  <c r="S46" i="3"/>
  <c r="R46" i="3"/>
  <c r="Q46" i="3"/>
  <c r="P46" i="3"/>
  <c r="AA45" i="3"/>
  <c r="Z45" i="3"/>
  <c r="Y45" i="3"/>
  <c r="X45" i="3"/>
  <c r="W45" i="3"/>
  <c r="V45" i="3"/>
  <c r="U45" i="3"/>
  <c r="T45" i="3"/>
  <c r="S45" i="3"/>
  <c r="R45" i="3"/>
  <c r="Q45" i="3"/>
  <c r="P45" i="3"/>
  <c r="AA44" i="3"/>
  <c r="Z44" i="3"/>
  <c r="Y44" i="3"/>
  <c r="X44" i="3"/>
  <c r="W44" i="3"/>
  <c r="V44" i="3"/>
  <c r="U44" i="3"/>
  <c r="T44" i="3"/>
  <c r="S44" i="3"/>
  <c r="R44" i="3"/>
  <c r="Q44" i="3"/>
  <c r="P44" i="3"/>
  <c r="AA43" i="3"/>
  <c r="Z43" i="3"/>
  <c r="Y43" i="3"/>
  <c r="X43" i="3"/>
  <c r="W43" i="3"/>
  <c r="V43" i="3"/>
  <c r="U43" i="3"/>
  <c r="T43" i="3"/>
  <c r="S43" i="3"/>
  <c r="R43" i="3"/>
  <c r="Q43" i="3"/>
  <c r="P43" i="3"/>
  <c r="AA42" i="3"/>
  <c r="Z42" i="3"/>
  <c r="Y42" i="3"/>
  <c r="X42" i="3"/>
  <c r="W42" i="3"/>
  <c r="V42" i="3"/>
  <c r="U42" i="3"/>
  <c r="T42" i="3"/>
  <c r="S42" i="3"/>
  <c r="R42" i="3"/>
  <c r="Q42" i="3"/>
  <c r="P42" i="3"/>
  <c r="AA41" i="3"/>
  <c r="Z41" i="3"/>
  <c r="Y41" i="3"/>
  <c r="X41" i="3"/>
  <c r="W41" i="3"/>
  <c r="V41" i="3"/>
  <c r="U41" i="3"/>
  <c r="T41" i="3"/>
  <c r="S41" i="3"/>
  <c r="R41" i="3"/>
  <c r="Q41" i="3"/>
  <c r="P41" i="3"/>
  <c r="AA40" i="3"/>
  <c r="Z40" i="3"/>
  <c r="Y40" i="3"/>
  <c r="X40" i="3"/>
  <c r="W40" i="3"/>
  <c r="V40" i="3"/>
  <c r="U40" i="3"/>
  <c r="T40" i="3"/>
  <c r="S40" i="3"/>
  <c r="R40" i="3"/>
  <c r="Q40" i="3"/>
  <c r="P40" i="3"/>
  <c r="AA39" i="3"/>
  <c r="Z39" i="3"/>
  <c r="Y39" i="3"/>
  <c r="X39" i="3"/>
  <c r="W39" i="3"/>
  <c r="V39" i="3"/>
  <c r="U39" i="3"/>
  <c r="T39" i="3"/>
  <c r="S39" i="3"/>
  <c r="R39" i="3"/>
  <c r="Q39" i="3"/>
  <c r="P39" i="3"/>
  <c r="AA38" i="3"/>
  <c r="Z38" i="3"/>
  <c r="Y38" i="3"/>
  <c r="X38" i="3"/>
  <c r="W38" i="3"/>
  <c r="V38" i="3"/>
  <c r="U38" i="3"/>
  <c r="T38" i="3"/>
  <c r="S38" i="3"/>
  <c r="R38" i="3"/>
  <c r="Q38" i="3"/>
  <c r="P38" i="3"/>
  <c r="AA37" i="3"/>
  <c r="Z37" i="3"/>
  <c r="Y37" i="3"/>
  <c r="X37" i="3"/>
  <c r="W37" i="3"/>
  <c r="V37" i="3"/>
  <c r="U37" i="3"/>
  <c r="T37" i="3"/>
  <c r="S37" i="3"/>
  <c r="R37" i="3"/>
  <c r="Q37" i="3"/>
  <c r="P37" i="3"/>
  <c r="AA36" i="3"/>
  <c r="Z36" i="3"/>
  <c r="Y36" i="3"/>
  <c r="X36" i="3"/>
  <c r="W36" i="3"/>
  <c r="V36" i="3"/>
  <c r="U36" i="3"/>
  <c r="T36" i="3"/>
  <c r="S36" i="3"/>
  <c r="R36" i="3"/>
  <c r="Q36" i="3"/>
  <c r="P36" i="3"/>
  <c r="AA35" i="3"/>
  <c r="Z35" i="3"/>
  <c r="Y35" i="3"/>
  <c r="X35" i="3"/>
  <c r="W35" i="3"/>
  <c r="V35" i="3"/>
  <c r="U35" i="3"/>
  <c r="T35" i="3"/>
  <c r="S35" i="3"/>
  <c r="R35" i="3"/>
  <c r="Q35" i="3"/>
  <c r="P35" i="3"/>
  <c r="AA34" i="3"/>
  <c r="Z34" i="3"/>
  <c r="Y34" i="3"/>
  <c r="X34" i="3"/>
  <c r="W34" i="3"/>
  <c r="V34" i="3"/>
  <c r="U34" i="3"/>
  <c r="T34" i="3"/>
  <c r="S34" i="3"/>
  <c r="R34" i="3"/>
  <c r="Q34" i="3"/>
  <c r="P34" i="3"/>
  <c r="AA33" i="3"/>
  <c r="Z33" i="3"/>
  <c r="Y33" i="3"/>
  <c r="X33" i="3"/>
  <c r="W33" i="3"/>
  <c r="V33" i="3"/>
  <c r="U33" i="3"/>
  <c r="T33" i="3"/>
  <c r="S33" i="3"/>
  <c r="R33" i="3"/>
  <c r="Q33" i="3"/>
  <c r="P33" i="3"/>
  <c r="AA32" i="3"/>
  <c r="Z32" i="3"/>
  <c r="Y32" i="3"/>
  <c r="X32" i="3"/>
  <c r="W32" i="3"/>
  <c r="V32" i="3"/>
  <c r="U32" i="3"/>
  <c r="T32" i="3"/>
  <c r="S32" i="3"/>
  <c r="R32" i="3"/>
  <c r="Q32" i="3"/>
  <c r="P32" i="3"/>
  <c r="AA31" i="3"/>
  <c r="Z31" i="3"/>
  <c r="Y31" i="3"/>
  <c r="X31" i="3"/>
  <c r="W31" i="3"/>
  <c r="V31" i="3"/>
  <c r="U31" i="3"/>
  <c r="T31" i="3"/>
  <c r="S31" i="3"/>
  <c r="R31" i="3"/>
  <c r="Q31" i="3"/>
  <c r="P31" i="3"/>
  <c r="AA30" i="3"/>
  <c r="Z30" i="3"/>
  <c r="Y30" i="3"/>
  <c r="X30" i="3"/>
  <c r="W30" i="3"/>
  <c r="V30" i="3"/>
  <c r="U30" i="3"/>
  <c r="T30" i="3"/>
  <c r="S30" i="3"/>
  <c r="R30" i="3"/>
  <c r="Q30" i="3"/>
  <c r="P30" i="3"/>
  <c r="AA29" i="3"/>
  <c r="Z29" i="3"/>
  <c r="Y29" i="3"/>
  <c r="X29" i="3"/>
  <c r="W29" i="3"/>
  <c r="V29" i="3"/>
  <c r="U29" i="3"/>
  <c r="T29" i="3"/>
  <c r="S29" i="3"/>
  <c r="R29" i="3"/>
  <c r="Q29" i="3"/>
  <c r="P29" i="3"/>
  <c r="AA28" i="3"/>
  <c r="Z28" i="3"/>
  <c r="Y28" i="3"/>
  <c r="X28" i="3"/>
  <c r="W28" i="3"/>
  <c r="V28" i="3"/>
  <c r="U28" i="3"/>
  <c r="T28" i="3"/>
  <c r="S28" i="3"/>
  <c r="R28" i="3"/>
  <c r="Q28" i="3"/>
  <c r="P28" i="3"/>
  <c r="AA27" i="3"/>
  <c r="Z27" i="3"/>
  <c r="Y27" i="3"/>
  <c r="X27" i="3"/>
  <c r="W27" i="3"/>
  <c r="V27" i="3"/>
  <c r="U27" i="3"/>
  <c r="T27" i="3"/>
  <c r="S27" i="3"/>
  <c r="R27" i="3"/>
  <c r="Q27" i="3"/>
  <c r="P27" i="3"/>
  <c r="AA26" i="3"/>
  <c r="Z26" i="3"/>
  <c r="Y26" i="3"/>
  <c r="X26" i="3"/>
  <c r="W26" i="3"/>
  <c r="V26" i="3"/>
  <c r="U26" i="3"/>
  <c r="T26" i="3"/>
  <c r="S26" i="3"/>
  <c r="R26" i="3"/>
  <c r="Q26" i="3"/>
  <c r="P26" i="3"/>
  <c r="AA25" i="3"/>
  <c r="Z25" i="3"/>
  <c r="Y25" i="3"/>
  <c r="X25" i="3"/>
  <c r="W25" i="3"/>
  <c r="V25" i="3"/>
  <c r="U25" i="3"/>
  <c r="T25" i="3"/>
  <c r="S25" i="3"/>
  <c r="R25" i="3"/>
  <c r="Q25" i="3"/>
  <c r="P25" i="3"/>
  <c r="AA24" i="3"/>
  <c r="Z24" i="3"/>
  <c r="Y24" i="3"/>
  <c r="X24" i="3"/>
  <c r="W24" i="3"/>
  <c r="V24" i="3"/>
  <c r="U24" i="3"/>
  <c r="T24" i="3"/>
  <c r="S24" i="3"/>
  <c r="R24" i="3"/>
  <c r="Q24" i="3"/>
  <c r="P24" i="3"/>
  <c r="AA23" i="3"/>
  <c r="Z23" i="3"/>
  <c r="Y23" i="3"/>
  <c r="X23" i="3"/>
  <c r="W23" i="3"/>
  <c r="V23" i="3"/>
  <c r="U23" i="3"/>
  <c r="T23" i="3"/>
  <c r="S23" i="3"/>
  <c r="R23" i="3"/>
  <c r="Q23" i="3"/>
  <c r="P23" i="3"/>
  <c r="AA22" i="3"/>
  <c r="Z22" i="3"/>
  <c r="Y22" i="3"/>
  <c r="X22" i="3"/>
  <c r="W22" i="3"/>
  <c r="V22" i="3"/>
  <c r="U22" i="3"/>
  <c r="T22" i="3"/>
  <c r="S22" i="3"/>
  <c r="R22" i="3"/>
  <c r="Q22" i="3"/>
  <c r="P22" i="3"/>
  <c r="AA21" i="3"/>
  <c r="Z21" i="3"/>
  <c r="Y21" i="3"/>
  <c r="X21" i="3"/>
  <c r="W21" i="3"/>
  <c r="V21" i="3"/>
  <c r="U21" i="3"/>
  <c r="T21" i="3"/>
  <c r="S21" i="3"/>
  <c r="R21" i="3"/>
  <c r="Q21" i="3"/>
  <c r="P21" i="3"/>
  <c r="AA20" i="3"/>
  <c r="Z20" i="3"/>
  <c r="Y20" i="3"/>
  <c r="X20" i="3"/>
  <c r="W20" i="3"/>
  <c r="V20" i="3"/>
  <c r="U20" i="3"/>
  <c r="T20" i="3"/>
  <c r="S20" i="3"/>
  <c r="R20" i="3"/>
  <c r="Q20" i="3"/>
  <c r="P20" i="3"/>
  <c r="AA19" i="3"/>
  <c r="Z19" i="3"/>
  <c r="Y19" i="3"/>
  <c r="X19" i="3"/>
  <c r="W19" i="3"/>
  <c r="V19" i="3"/>
  <c r="U19" i="3"/>
  <c r="T19" i="3"/>
  <c r="S19" i="3"/>
  <c r="R19" i="3"/>
  <c r="Q19" i="3"/>
  <c r="P19" i="3"/>
  <c r="AA18" i="3"/>
  <c r="Z18" i="3"/>
  <c r="Y18" i="3"/>
  <c r="X18" i="3"/>
  <c r="W18" i="3"/>
  <c r="V18" i="3"/>
  <c r="U18" i="3"/>
  <c r="T18" i="3"/>
  <c r="S18" i="3"/>
  <c r="R18" i="3"/>
  <c r="Q18" i="3"/>
  <c r="P18" i="3"/>
  <c r="AA17" i="3"/>
  <c r="Z17" i="3"/>
  <c r="Y17" i="3"/>
  <c r="X17" i="3"/>
  <c r="W17" i="3"/>
  <c r="V17" i="3"/>
  <c r="U17" i="3"/>
  <c r="T17" i="3"/>
  <c r="S17" i="3"/>
  <c r="R17" i="3"/>
  <c r="Q17" i="3"/>
  <c r="P17" i="3"/>
  <c r="AA16" i="3"/>
  <c r="Z16" i="3"/>
  <c r="Y16" i="3"/>
  <c r="X16" i="3"/>
  <c r="W16" i="3"/>
  <c r="V16" i="3"/>
  <c r="U16" i="3"/>
  <c r="T16" i="3"/>
  <c r="S16" i="3"/>
  <c r="R16" i="3"/>
  <c r="Q16" i="3"/>
  <c r="P16" i="3"/>
  <c r="AA15" i="3"/>
  <c r="Z15" i="3"/>
  <c r="Y15" i="3"/>
  <c r="X15" i="3"/>
  <c r="W15" i="3"/>
  <c r="V15" i="3"/>
  <c r="U15" i="3"/>
  <c r="T15" i="3"/>
  <c r="S15" i="3"/>
  <c r="R15" i="3"/>
  <c r="Q15" i="3"/>
  <c r="P15" i="3"/>
  <c r="AA14" i="3"/>
  <c r="Z14" i="3"/>
  <c r="Y14" i="3"/>
  <c r="X14" i="3"/>
  <c r="W14" i="3"/>
  <c r="V14" i="3"/>
  <c r="U14" i="3"/>
  <c r="T14" i="3"/>
  <c r="S14" i="3"/>
  <c r="R14" i="3"/>
  <c r="Q14" i="3"/>
  <c r="P14" i="3"/>
  <c r="AA13" i="3"/>
  <c r="Z13" i="3"/>
  <c r="Y13" i="3"/>
  <c r="X13" i="3"/>
  <c r="W13" i="3"/>
  <c r="V13" i="3"/>
  <c r="U13" i="3"/>
  <c r="T13" i="3"/>
  <c r="S13" i="3"/>
  <c r="R13" i="3"/>
  <c r="Q13" i="3"/>
  <c r="P13" i="3"/>
  <c r="AA12" i="3"/>
  <c r="Z12" i="3"/>
  <c r="Y12" i="3"/>
  <c r="X12" i="3"/>
  <c r="W12" i="3"/>
  <c r="V12" i="3"/>
  <c r="U12" i="3"/>
  <c r="T12" i="3"/>
  <c r="S12" i="3"/>
  <c r="R12" i="3"/>
  <c r="Q12" i="3"/>
  <c r="P12" i="3"/>
  <c r="AA11" i="3"/>
  <c r="Z11" i="3"/>
  <c r="Y11" i="3"/>
  <c r="X11" i="3"/>
  <c r="W11" i="3"/>
  <c r="V11" i="3"/>
  <c r="U11" i="3"/>
  <c r="T11" i="3"/>
  <c r="S11" i="3"/>
  <c r="R11" i="3"/>
  <c r="Q11" i="3"/>
  <c r="P11" i="3"/>
  <c r="AA10" i="3"/>
  <c r="Z10" i="3"/>
  <c r="Y10" i="3"/>
  <c r="X10" i="3"/>
  <c r="W10" i="3"/>
  <c r="V10" i="3"/>
  <c r="U10" i="3"/>
  <c r="T10" i="3"/>
  <c r="S10" i="3"/>
  <c r="R10" i="3"/>
  <c r="Q10" i="3"/>
  <c r="P10" i="3"/>
  <c r="AA9" i="3"/>
  <c r="Z9" i="3"/>
  <c r="Y9" i="3"/>
  <c r="X9" i="3"/>
  <c r="W9" i="3"/>
  <c r="V9" i="3"/>
  <c r="U9" i="3"/>
  <c r="T9" i="3"/>
  <c r="S9" i="3"/>
  <c r="R9" i="3"/>
  <c r="Q9" i="3"/>
  <c r="P9" i="3"/>
  <c r="AA8" i="3"/>
  <c r="Z8" i="3"/>
  <c r="Y8" i="3"/>
  <c r="X8" i="3"/>
  <c r="W8" i="3"/>
  <c r="V8" i="3"/>
  <c r="U8" i="3"/>
  <c r="T8" i="3"/>
  <c r="S8" i="3"/>
  <c r="R8" i="3"/>
  <c r="Q8" i="3"/>
  <c r="P8" i="3"/>
  <c r="AA7" i="3"/>
  <c r="Z7" i="3"/>
  <c r="Y7" i="3"/>
  <c r="X7" i="3"/>
  <c r="W7" i="3"/>
  <c r="V7" i="3"/>
  <c r="U7" i="3"/>
  <c r="T7" i="3"/>
  <c r="S7" i="3"/>
  <c r="R7" i="3"/>
  <c r="Q7" i="3"/>
  <c r="P7" i="3"/>
  <c r="AA6" i="3"/>
  <c r="Z6" i="3"/>
  <c r="Y6" i="3"/>
  <c r="X6" i="3"/>
  <c r="W6" i="3"/>
  <c r="V6" i="3"/>
  <c r="U6" i="3"/>
  <c r="T6" i="3"/>
  <c r="S6" i="3"/>
  <c r="R6" i="3"/>
  <c r="Q6" i="3"/>
  <c r="P6" i="3"/>
  <c r="AA5" i="3"/>
  <c r="Z5" i="3"/>
  <c r="Y5" i="3"/>
  <c r="X5" i="3"/>
  <c r="W5" i="3"/>
  <c r="V5" i="3"/>
  <c r="U5" i="3"/>
  <c r="T5" i="3"/>
  <c r="S5" i="3"/>
  <c r="R5" i="3"/>
  <c r="Q5" i="3"/>
  <c r="P5" i="3"/>
  <c r="AA4" i="3"/>
  <c r="Z4" i="3"/>
  <c r="Y4" i="3"/>
  <c r="X4" i="3"/>
  <c r="W4" i="3"/>
  <c r="V4" i="3"/>
  <c r="U4" i="3"/>
  <c r="T4" i="3"/>
  <c r="S4" i="3"/>
  <c r="R4" i="3"/>
  <c r="Q4" i="3"/>
  <c r="P4" i="3"/>
  <c r="AA3" i="3"/>
  <c r="AA55" i="3" s="1"/>
  <c r="N56" i="3" s="1"/>
  <c r="Z3" i="3"/>
  <c r="Z55" i="3" s="1"/>
  <c r="M56" i="3" s="1"/>
  <c r="Y3" i="3"/>
  <c r="Y55" i="3" s="1"/>
  <c r="L56" i="3" s="1"/>
  <c r="X3" i="3"/>
  <c r="X55" i="3" s="1"/>
  <c r="K56" i="3" s="1"/>
  <c r="W3" i="3"/>
  <c r="W55" i="3" s="1"/>
  <c r="J56" i="3" s="1"/>
  <c r="V3" i="3"/>
  <c r="V55" i="3" s="1"/>
  <c r="I56" i="3" s="1"/>
  <c r="U3" i="3"/>
  <c r="U55" i="3" s="1"/>
  <c r="H56" i="3" s="1"/>
  <c r="T3" i="3"/>
  <c r="T55" i="3" s="1"/>
  <c r="G56" i="3" s="1"/>
  <c r="S3" i="3"/>
  <c r="S55" i="3" s="1"/>
  <c r="F56" i="3" s="1"/>
  <c r="R3" i="3"/>
  <c r="R55" i="3" s="1"/>
  <c r="E56" i="3" s="1"/>
  <c r="Q3" i="3"/>
  <c r="Q55" i="3" s="1"/>
  <c r="D56" i="3" s="1"/>
  <c r="P3" i="3"/>
  <c r="P55" i="3" s="1"/>
  <c r="C56" i="3" s="1"/>
  <c r="P4" i="1"/>
  <c r="Q4" i="1"/>
  <c r="R4" i="1"/>
  <c r="S4" i="1"/>
  <c r="T4" i="1"/>
  <c r="U4" i="1"/>
  <c r="V4" i="1"/>
  <c r="W4" i="1"/>
  <c r="X4" i="1"/>
  <c r="Y4" i="1"/>
  <c r="Y55" i="1" s="1"/>
  <c r="L56" i="1" s="1"/>
  <c r="Z4" i="1"/>
  <c r="Z55" i="1" s="1"/>
  <c r="M56" i="1" s="1"/>
  <c r="AA4" i="1"/>
  <c r="AA55" i="1" s="1"/>
  <c r="N56" i="1" s="1"/>
  <c r="P5" i="1"/>
  <c r="P55" i="1" s="1"/>
  <c r="C56" i="1" s="1"/>
  <c r="Q5" i="1"/>
  <c r="R5" i="1"/>
  <c r="S5" i="1"/>
  <c r="T5" i="1"/>
  <c r="U5" i="1"/>
  <c r="V5" i="1"/>
  <c r="W5" i="1"/>
  <c r="W55" i="1" s="1"/>
  <c r="J56" i="1" s="1"/>
  <c r="X5" i="1"/>
  <c r="Y5" i="1"/>
  <c r="Z5" i="1"/>
  <c r="AA5" i="1"/>
  <c r="P6" i="1"/>
  <c r="Q6" i="1"/>
  <c r="R6" i="1"/>
  <c r="S6" i="1"/>
  <c r="T6" i="1"/>
  <c r="U6" i="1"/>
  <c r="V6" i="1"/>
  <c r="V55" i="1" s="1"/>
  <c r="I56" i="1" s="1"/>
  <c r="W6" i="1"/>
  <c r="X6" i="1"/>
  <c r="Y6" i="1"/>
  <c r="Z6" i="1"/>
  <c r="AA6" i="1"/>
  <c r="P7" i="1"/>
  <c r="Q7" i="1"/>
  <c r="R7" i="1"/>
  <c r="S7" i="1"/>
  <c r="T7" i="1"/>
  <c r="U7" i="1"/>
  <c r="V7" i="1"/>
  <c r="W7" i="1"/>
  <c r="X7" i="1"/>
  <c r="Y7" i="1"/>
  <c r="Z7" i="1"/>
  <c r="AA7" i="1"/>
  <c r="P8" i="1"/>
  <c r="Q8" i="1"/>
  <c r="R8" i="1"/>
  <c r="S8" i="1"/>
  <c r="S55" i="1" s="1"/>
  <c r="F56" i="1" s="1"/>
  <c r="T8" i="1"/>
  <c r="T55" i="1" s="1"/>
  <c r="G56" i="1" s="1"/>
  <c r="U8" i="1"/>
  <c r="U55" i="1" s="1"/>
  <c r="H56" i="1" s="1"/>
  <c r="V8" i="1"/>
  <c r="W8" i="1"/>
  <c r="X8" i="1"/>
  <c r="Y8" i="1"/>
  <c r="Z8" i="1"/>
  <c r="AA8" i="1"/>
  <c r="P9" i="1"/>
  <c r="Q9" i="1"/>
  <c r="R9" i="1"/>
  <c r="S9" i="1"/>
  <c r="T9" i="1"/>
  <c r="U9" i="1"/>
  <c r="V9" i="1"/>
  <c r="W9" i="1"/>
  <c r="X9" i="1"/>
  <c r="Y9" i="1"/>
  <c r="Z9" i="1"/>
  <c r="AA9" i="1"/>
  <c r="P10" i="1"/>
  <c r="Q10" i="1"/>
  <c r="R10" i="1"/>
  <c r="S10" i="1"/>
  <c r="T10" i="1"/>
  <c r="U10" i="1"/>
  <c r="V10" i="1"/>
  <c r="W10" i="1"/>
  <c r="X10" i="1"/>
  <c r="Y10" i="1"/>
  <c r="Z10" i="1"/>
  <c r="AA10" i="1"/>
  <c r="P11" i="1"/>
  <c r="Q11" i="1"/>
  <c r="R11" i="1"/>
  <c r="S11" i="1"/>
  <c r="T11" i="1"/>
  <c r="U11" i="1"/>
  <c r="V11" i="1"/>
  <c r="W11" i="1"/>
  <c r="X11" i="1"/>
  <c r="Y11" i="1"/>
  <c r="Z11" i="1"/>
  <c r="AA11" i="1"/>
  <c r="P12" i="1"/>
  <c r="Q12" i="1"/>
  <c r="R12" i="1"/>
  <c r="S12" i="1"/>
  <c r="T12" i="1"/>
  <c r="U12" i="1"/>
  <c r="V12" i="1"/>
  <c r="W12" i="1"/>
  <c r="X12" i="1"/>
  <c r="Y12" i="1"/>
  <c r="Z12" i="1"/>
  <c r="AA12" i="1"/>
  <c r="P13" i="1"/>
  <c r="Q13" i="1"/>
  <c r="R13" i="1"/>
  <c r="S13" i="1"/>
  <c r="T13" i="1"/>
  <c r="U13" i="1"/>
  <c r="V13" i="1"/>
  <c r="W13" i="1"/>
  <c r="X13" i="1"/>
  <c r="Y13" i="1"/>
  <c r="Z13" i="1"/>
  <c r="AA13" i="1"/>
  <c r="P14" i="1"/>
  <c r="Q14" i="1"/>
  <c r="R14" i="1"/>
  <c r="S14" i="1"/>
  <c r="T14" i="1"/>
  <c r="U14" i="1"/>
  <c r="V14" i="1"/>
  <c r="W14" i="1"/>
  <c r="X14" i="1"/>
  <c r="Y14" i="1"/>
  <c r="Z14" i="1"/>
  <c r="AA14" i="1"/>
  <c r="P15" i="1"/>
  <c r="Q15" i="1"/>
  <c r="R15" i="1"/>
  <c r="S15" i="1"/>
  <c r="T15" i="1"/>
  <c r="U15" i="1"/>
  <c r="V15" i="1"/>
  <c r="W15" i="1"/>
  <c r="X15" i="1"/>
  <c r="Y15" i="1"/>
  <c r="Z15" i="1"/>
  <c r="AA15" i="1"/>
  <c r="P16" i="1"/>
  <c r="Q16" i="1"/>
  <c r="R16" i="1"/>
  <c r="S16" i="1"/>
  <c r="T16" i="1"/>
  <c r="U16" i="1"/>
  <c r="V16" i="1"/>
  <c r="W16" i="1"/>
  <c r="X16" i="1"/>
  <c r="Y16" i="1"/>
  <c r="Z16" i="1"/>
  <c r="AA16" i="1"/>
  <c r="P17" i="1"/>
  <c r="Q17" i="1"/>
  <c r="R17" i="1"/>
  <c r="S17" i="1"/>
  <c r="T17" i="1"/>
  <c r="U17" i="1"/>
  <c r="V17" i="1"/>
  <c r="W17" i="1"/>
  <c r="X17" i="1"/>
  <c r="Y17" i="1"/>
  <c r="Z17" i="1"/>
  <c r="AA17" i="1"/>
  <c r="P18" i="1"/>
  <c r="Q18" i="1"/>
  <c r="R18" i="1"/>
  <c r="S18" i="1"/>
  <c r="T18" i="1"/>
  <c r="U18" i="1"/>
  <c r="V18" i="1"/>
  <c r="W18" i="1"/>
  <c r="X18" i="1"/>
  <c r="Y18" i="1"/>
  <c r="Z18" i="1"/>
  <c r="AA18" i="1"/>
  <c r="P19" i="1"/>
  <c r="Q19" i="1"/>
  <c r="R19" i="1"/>
  <c r="S19" i="1"/>
  <c r="T19" i="1"/>
  <c r="U19" i="1"/>
  <c r="V19" i="1"/>
  <c r="W19" i="1"/>
  <c r="X19" i="1"/>
  <c r="Y19" i="1"/>
  <c r="Z19" i="1"/>
  <c r="AA19" i="1"/>
  <c r="P20" i="1"/>
  <c r="Q20" i="1"/>
  <c r="R20" i="1"/>
  <c r="S20" i="1"/>
  <c r="T20" i="1"/>
  <c r="U20" i="1"/>
  <c r="V20" i="1"/>
  <c r="W20" i="1"/>
  <c r="X20" i="1"/>
  <c r="Y20" i="1"/>
  <c r="Z20" i="1"/>
  <c r="AA20" i="1"/>
  <c r="P21" i="1"/>
  <c r="Q21" i="1"/>
  <c r="R21" i="1"/>
  <c r="S21" i="1"/>
  <c r="T21" i="1"/>
  <c r="U21" i="1"/>
  <c r="V21" i="1"/>
  <c r="W21" i="1"/>
  <c r="X21" i="1"/>
  <c r="Y21" i="1"/>
  <c r="Z21" i="1"/>
  <c r="AA21" i="1"/>
  <c r="P22" i="1"/>
  <c r="Q22" i="1"/>
  <c r="R22" i="1"/>
  <c r="S22" i="1"/>
  <c r="T22" i="1"/>
  <c r="U22" i="1"/>
  <c r="V22" i="1"/>
  <c r="W22" i="1"/>
  <c r="X22" i="1"/>
  <c r="Y22" i="1"/>
  <c r="Z22" i="1"/>
  <c r="AA22" i="1"/>
  <c r="P23" i="1"/>
  <c r="Q23" i="1"/>
  <c r="R23" i="1"/>
  <c r="S23" i="1"/>
  <c r="T23" i="1"/>
  <c r="U23" i="1"/>
  <c r="V23" i="1"/>
  <c r="W23" i="1"/>
  <c r="X23" i="1"/>
  <c r="Y23" i="1"/>
  <c r="Z23" i="1"/>
  <c r="AA23" i="1"/>
  <c r="P24" i="1"/>
  <c r="Q24" i="1"/>
  <c r="R24" i="1"/>
  <c r="S24" i="1"/>
  <c r="T24" i="1"/>
  <c r="U24" i="1"/>
  <c r="V24" i="1"/>
  <c r="W24" i="1"/>
  <c r="X24" i="1"/>
  <c r="Y24" i="1"/>
  <c r="Z24" i="1"/>
  <c r="AA24" i="1"/>
  <c r="P25" i="1"/>
  <c r="Q25" i="1"/>
  <c r="R25" i="1"/>
  <c r="S25" i="1"/>
  <c r="T25" i="1"/>
  <c r="U25" i="1"/>
  <c r="V25" i="1"/>
  <c r="W25" i="1"/>
  <c r="X25" i="1"/>
  <c r="Y25" i="1"/>
  <c r="Z25" i="1"/>
  <c r="AA25" i="1"/>
  <c r="P26" i="1"/>
  <c r="Q26" i="1"/>
  <c r="R26" i="1"/>
  <c r="S26" i="1"/>
  <c r="T26" i="1"/>
  <c r="U26" i="1"/>
  <c r="V26" i="1"/>
  <c r="W26" i="1"/>
  <c r="X26" i="1"/>
  <c r="Y26" i="1"/>
  <c r="Z26" i="1"/>
  <c r="AA26" i="1"/>
  <c r="P27" i="1"/>
  <c r="Q27" i="1"/>
  <c r="R27" i="1"/>
  <c r="S27" i="1"/>
  <c r="T27" i="1"/>
  <c r="U27" i="1"/>
  <c r="V27" i="1"/>
  <c r="W27" i="1"/>
  <c r="X27" i="1"/>
  <c r="Y27" i="1"/>
  <c r="Z27" i="1"/>
  <c r="AA27" i="1"/>
  <c r="P28" i="1"/>
  <c r="Q28" i="1"/>
  <c r="R28" i="1"/>
  <c r="S28" i="1"/>
  <c r="T28" i="1"/>
  <c r="U28" i="1"/>
  <c r="V28" i="1"/>
  <c r="W28" i="1"/>
  <c r="X28" i="1"/>
  <c r="Y28" i="1"/>
  <c r="Z28" i="1"/>
  <c r="AA28" i="1"/>
  <c r="P29" i="1"/>
  <c r="Q29" i="1"/>
  <c r="R29" i="1"/>
  <c r="S29" i="1"/>
  <c r="T29" i="1"/>
  <c r="U29" i="1"/>
  <c r="V29" i="1"/>
  <c r="W29" i="1"/>
  <c r="X29" i="1"/>
  <c r="Y29" i="1"/>
  <c r="Z29" i="1"/>
  <c r="AA29" i="1"/>
  <c r="P30" i="1"/>
  <c r="Q30" i="1"/>
  <c r="R30" i="1"/>
  <c r="S30" i="1"/>
  <c r="T30" i="1"/>
  <c r="U30" i="1"/>
  <c r="V30" i="1"/>
  <c r="W30" i="1"/>
  <c r="X30" i="1"/>
  <c r="Y30" i="1"/>
  <c r="Z30" i="1"/>
  <c r="AA30" i="1"/>
  <c r="P31" i="1"/>
  <c r="Q31" i="1"/>
  <c r="R31" i="1"/>
  <c r="S31" i="1"/>
  <c r="T31" i="1"/>
  <c r="U31" i="1"/>
  <c r="V31" i="1"/>
  <c r="W31" i="1"/>
  <c r="X31" i="1"/>
  <c r="Y31" i="1"/>
  <c r="Z31" i="1"/>
  <c r="AA31" i="1"/>
  <c r="P32" i="1"/>
  <c r="Q32" i="1"/>
  <c r="R32" i="1"/>
  <c r="S32" i="1"/>
  <c r="T32" i="1"/>
  <c r="U32" i="1"/>
  <c r="V32" i="1"/>
  <c r="W32" i="1"/>
  <c r="X32" i="1"/>
  <c r="Y32" i="1"/>
  <c r="Z32" i="1"/>
  <c r="AA32" i="1"/>
  <c r="P33" i="1"/>
  <c r="Q33" i="1"/>
  <c r="R33" i="1"/>
  <c r="S33" i="1"/>
  <c r="T33" i="1"/>
  <c r="U33" i="1"/>
  <c r="V33" i="1"/>
  <c r="W33" i="1"/>
  <c r="X33" i="1"/>
  <c r="Y33" i="1"/>
  <c r="Z33" i="1"/>
  <c r="AA33" i="1"/>
  <c r="P34" i="1"/>
  <c r="Q34" i="1"/>
  <c r="R34" i="1"/>
  <c r="S34" i="1"/>
  <c r="T34" i="1"/>
  <c r="U34" i="1"/>
  <c r="V34" i="1"/>
  <c r="W34" i="1"/>
  <c r="X34" i="1"/>
  <c r="Y34" i="1"/>
  <c r="Z34" i="1"/>
  <c r="AA34" i="1"/>
  <c r="P35" i="1"/>
  <c r="Q35" i="1"/>
  <c r="R35" i="1"/>
  <c r="S35" i="1"/>
  <c r="T35" i="1"/>
  <c r="U35" i="1"/>
  <c r="V35" i="1"/>
  <c r="W35" i="1"/>
  <c r="X35" i="1"/>
  <c r="Y35" i="1"/>
  <c r="Z35" i="1"/>
  <c r="AA35" i="1"/>
  <c r="P36" i="1"/>
  <c r="Q36" i="1"/>
  <c r="R36" i="1"/>
  <c r="S36" i="1"/>
  <c r="T36" i="1"/>
  <c r="U36" i="1"/>
  <c r="V36" i="1"/>
  <c r="W36" i="1"/>
  <c r="X36" i="1"/>
  <c r="Y36" i="1"/>
  <c r="Z36" i="1"/>
  <c r="AA36" i="1"/>
  <c r="P37" i="1"/>
  <c r="Q37" i="1"/>
  <c r="R37" i="1"/>
  <c r="S37" i="1"/>
  <c r="T37" i="1"/>
  <c r="U37" i="1"/>
  <c r="V37" i="1"/>
  <c r="W37" i="1"/>
  <c r="X37" i="1"/>
  <c r="Y37" i="1"/>
  <c r="Z37" i="1"/>
  <c r="AA37" i="1"/>
  <c r="P38" i="1"/>
  <c r="Q38" i="1"/>
  <c r="R38" i="1"/>
  <c r="S38" i="1"/>
  <c r="T38" i="1"/>
  <c r="U38" i="1"/>
  <c r="V38" i="1"/>
  <c r="W38" i="1"/>
  <c r="X38" i="1"/>
  <c r="Y38" i="1"/>
  <c r="Z38" i="1"/>
  <c r="AA38" i="1"/>
  <c r="P39" i="1"/>
  <c r="Q39" i="1"/>
  <c r="R39" i="1"/>
  <c r="S39" i="1"/>
  <c r="T39" i="1"/>
  <c r="U39" i="1"/>
  <c r="V39" i="1"/>
  <c r="W39" i="1"/>
  <c r="X39" i="1"/>
  <c r="Y39" i="1"/>
  <c r="Z39" i="1"/>
  <c r="AA39" i="1"/>
  <c r="P40" i="1"/>
  <c r="Q40" i="1"/>
  <c r="R40" i="1"/>
  <c r="S40" i="1"/>
  <c r="T40" i="1"/>
  <c r="U40" i="1"/>
  <c r="V40" i="1"/>
  <c r="W40" i="1"/>
  <c r="X40" i="1"/>
  <c r="Y40" i="1"/>
  <c r="Z40" i="1"/>
  <c r="AA40" i="1"/>
  <c r="P41" i="1"/>
  <c r="Q41" i="1"/>
  <c r="R41" i="1"/>
  <c r="S41" i="1"/>
  <c r="T41" i="1"/>
  <c r="U41" i="1"/>
  <c r="V41" i="1"/>
  <c r="W41" i="1"/>
  <c r="X41" i="1"/>
  <c r="Y41" i="1"/>
  <c r="Z41" i="1"/>
  <c r="AA41" i="1"/>
  <c r="P42" i="1"/>
  <c r="Q42" i="1"/>
  <c r="R42" i="1"/>
  <c r="S42" i="1"/>
  <c r="T42" i="1"/>
  <c r="U42" i="1"/>
  <c r="V42" i="1"/>
  <c r="W42" i="1"/>
  <c r="X42" i="1"/>
  <c r="Y42" i="1"/>
  <c r="Z42" i="1"/>
  <c r="AA42" i="1"/>
  <c r="P43" i="1"/>
  <c r="Q43" i="1"/>
  <c r="R43" i="1"/>
  <c r="S43" i="1"/>
  <c r="T43" i="1"/>
  <c r="U43" i="1"/>
  <c r="V43" i="1"/>
  <c r="W43" i="1"/>
  <c r="X43" i="1"/>
  <c r="Y43" i="1"/>
  <c r="Z43" i="1"/>
  <c r="AA43" i="1"/>
  <c r="P44" i="1"/>
  <c r="Q44" i="1"/>
  <c r="R44" i="1"/>
  <c r="S44" i="1"/>
  <c r="T44" i="1"/>
  <c r="U44" i="1"/>
  <c r="V44" i="1"/>
  <c r="W44" i="1"/>
  <c r="X44" i="1"/>
  <c r="Y44" i="1"/>
  <c r="Z44" i="1"/>
  <c r="AA44" i="1"/>
  <c r="P45" i="1"/>
  <c r="Q45" i="1"/>
  <c r="R45" i="1"/>
  <c r="S45" i="1"/>
  <c r="T45" i="1"/>
  <c r="U45" i="1"/>
  <c r="V45" i="1"/>
  <c r="W45" i="1"/>
  <c r="X45" i="1"/>
  <c r="Y45" i="1"/>
  <c r="Z45" i="1"/>
  <c r="AA45" i="1"/>
  <c r="P46" i="1"/>
  <c r="Q46" i="1"/>
  <c r="R46" i="1"/>
  <c r="S46" i="1"/>
  <c r="T46" i="1"/>
  <c r="U46" i="1"/>
  <c r="V46" i="1"/>
  <c r="W46" i="1"/>
  <c r="X46" i="1"/>
  <c r="Y46" i="1"/>
  <c r="Z46" i="1"/>
  <c r="AA46" i="1"/>
  <c r="P47" i="1"/>
  <c r="Q47" i="1"/>
  <c r="R47" i="1"/>
  <c r="S47" i="1"/>
  <c r="T47" i="1"/>
  <c r="U47" i="1"/>
  <c r="V47" i="1"/>
  <c r="W47" i="1"/>
  <c r="X47" i="1"/>
  <c r="Y47" i="1"/>
  <c r="Z47" i="1"/>
  <c r="AA47" i="1"/>
  <c r="P48" i="1"/>
  <c r="Q48" i="1"/>
  <c r="R48" i="1"/>
  <c r="S48" i="1"/>
  <c r="T48" i="1"/>
  <c r="U48" i="1"/>
  <c r="V48" i="1"/>
  <c r="W48" i="1"/>
  <c r="X48" i="1"/>
  <c r="Y48" i="1"/>
  <c r="Z48" i="1"/>
  <c r="AA48" i="1"/>
  <c r="P49" i="1"/>
  <c r="Q49" i="1"/>
  <c r="R49" i="1"/>
  <c r="S49" i="1"/>
  <c r="T49" i="1"/>
  <c r="U49" i="1"/>
  <c r="V49" i="1"/>
  <c r="W49" i="1"/>
  <c r="X49" i="1"/>
  <c r="Y49" i="1"/>
  <c r="Z49" i="1"/>
  <c r="AA49" i="1"/>
  <c r="P50" i="1"/>
  <c r="Q50" i="1"/>
  <c r="R50" i="1"/>
  <c r="S50" i="1"/>
  <c r="T50" i="1"/>
  <c r="U50" i="1"/>
  <c r="V50" i="1"/>
  <c r="W50" i="1"/>
  <c r="X50" i="1"/>
  <c r="Y50" i="1"/>
  <c r="Z50" i="1"/>
  <c r="AA50" i="1"/>
  <c r="P51" i="1"/>
  <c r="Q51" i="1"/>
  <c r="R51" i="1"/>
  <c r="S51" i="1"/>
  <c r="T51" i="1"/>
  <c r="U51" i="1"/>
  <c r="V51" i="1"/>
  <c r="W51" i="1"/>
  <c r="X51" i="1"/>
  <c r="Y51" i="1"/>
  <c r="Z51" i="1"/>
  <c r="AA51" i="1"/>
  <c r="P52" i="1"/>
  <c r="Q52" i="1"/>
  <c r="R52" i="1"/>
  <c r="S52" i="1"/>
  <c r="T52" i="1"/>
  <c r="U52" i="1"/>
  <c r="V52" i="1"/>
  <c r="W52" i="1"/>
  <c r="X52" i="1"/>
  <c r="Y52" i="1"/>
  <c r="Z52" i="1"/>
  <c r="AA52" i="1"/>
  <c r="P53" i="1"/>
  <c r="Q53" i="1"/>
  <c r="R53" i="1"/>
  <c r="S53" i="1"/>
  <c r="T53" i="1"/>
  <c r="U53" i="1"/>
  <c r="V53" i="1"/>
  <c r="W53" i="1"/>
  <c r="X53" i="1"/>
  <c r="Y53" i="1"/>
  <c r="Z53" i="1"/>
  <c r="AA53" i="1"/>
  <c r="P54" i="1"/>
  <c r="Q54" i="1"/>
  <c r="R54" i="1"/>
  <c r="S54" i="1"/>
  <c r="T54" i="1"/>
  <c r="U54" i="1"/>
  <c r="V54" i="1"/>
  <c r="W54" i="1"/>
  <c r="X54" i="1"/>
  <c r="Y54" i="1"/>
  <c r="Z54" i="1"/>
  <c r="AA54" i="1"/>
  <c r="Q3" i="1"/>
  <c r="Q55" i="1" s="1"/>
  <c r="D56" i="1" s="1"/>
  <c r="R3" i="1"/>
  <c r="R55" i="1" s="1"/>
  <c r="E56" i="1" s="1"/>
  <c r="S3" i="1"/>
  <c r="T3" i="1"/>
  <c r="U3" i="1"/>
  <c r="V3" i="1"/>
  <c r="W3" i="1"/>
  <c r="X3" i="1"/>
  <c r="X55" i="1" s="1"/>
  <c r="K56" i="1" s="1"/>
  <c r="Y3" i="1"/>
  <c r="Z3" i="1"/>
  <c r="AA3" i="1"/>
  <c r="P3" i="1"/>
  <c r="T112" i="1" l="1"/>
  <c r="G112" i="1" s="1"/>
  <c r="X112" i="1"/>
  <c r="K112" i="1" s="1"/>
  <c r="U112" i="1"/>
  <c r="H112" i="1" s="1"/>
  <c r="AA112" i="1"/>
  <c r="N112" i="1" s="1"/>
  <c r="V112" i="1"/>
  <c r="I112" i="1" s="1"/>
  <c r="Y112" i="1"/>
  <c r="L112" i="1" s="1"/>
  <c r="Z112" i="1"/>
  <c r="M112" i="1" s="1"/>
  <c r="W112" i="1"/>
  <c r="J112" i="1" s="1"/>
  <c r="P112" i="1"/>
  <c r="C112" i="1" s="1"/>
  <c r="Q112" i="1"/>
  <c r="D112" i="1" s="1"/>
  <c r="R112" i="1"/>
  <c r="E112" i="1" s="1"/>
  <c r="S112" i="1"/>
  <c r="F112" i="1" s="1"/>
  <c r="AA113" i="4"/>
  <c r="N113" i="4" s="1"/>
  <c r="Z113" i="4"/>
  <c r="M113" i="4" s="1"/>
  <c r="S113" i="4"/>
  <c r="F113" i="4" s="1"/>
  <c r="V113" i="4"/>
  <c r="I113" i="4" s="1"/>
  <c r="R113" i="4"/>
  <c r="E113" i="4" s="1"/>
  <c r="Y113" i="4"/>
  <c r="L113" i="4" s="1"/>
  <c r="Q113" i="4"/>
  <c r="D113" i="4" s="1"/>
  <c r="T113" i="4"/>
  <c r="G113" i="4" s="1"/>
  <c r="X113" i="4"/>
  <c r="K113" i="4" s="1"/>
  <c r="P113" i="4"/>
  <c r="C113" i="4" s="1"/>
  <c r="Y112" i="3"/>
  <c r="L112" i="3" s="1"/>
  <c r="V112" i="3"/>
  <c r="I112" i="3" s="1"/>
  <c r="W112" i="3"/>
  <c r="J112" i="3" s="1"/>
  <c r="P112" i="3"/>
  <c r="C112" i="3" s="1"/>
  <c r="U112" i="3"/>
  <c r="H112" i="3" s="1"/>
  <c r="Z112" i="3"/>
  <c r="M112" i="3" s="1"/>
  <c r="S112" i="3"/>
  <c r="F112" i="3" s="1"/>
  <c r="Q112" i="3"/>
  <c r="D112" i="3" s="1"/>
  <c r="R112" i="3"/>
  <c r="E112" i="3" s="1"/>
  <c r="X55" i="4"/>
  <c r="K56" i="4" s="1"/>
  <c r="U55" i="4"/>
  <c r="H56" i="4" s="1"/>
  <c r="V55" i="4"/>
  <c r="I56" i="4" s="1"/>
  <c r="W55" i="4"/>
  <c r="J56" i="4" s="1"/>
  <c r="Y55" i="4"/>
  <c r="L56" i="4" s="1"/>
  <c r="Z55" i="4"/>
  <c r="M56" i="4" s="1"/>
  <c r="AA55" i="4"/>
  <c r="N56" i="4" s="1"/>
  <c r="S55" i="4"/>
  <c r="F56" i="4" s="1"/>
  <c r="T55" i="4"/>
  <c r="G56" i="4" s="1"/>
  <c r="P55" i="4"/>
  <c r="C56" i="4" s="1"/>
  <c r="Q55" i="4"/>
  <c r="D56" i="4" s="1"/>
  <c r="R55" i="4"/>
  <c r="E56" i="4" s="1"/>
</calcChain>
</file>

<file path=xl/sharedStrings.xml><?xml version="1.0" encoding="utf-8"?>
<sst xmlns="http://schemas.openxmlformats.org/spreadsheetml/2006/main" count="1478" uniqueCount="197">
  <si>
    <t>NORES</t>
  </si>
  <si>
    <t>ROS</t>
  </si>
  <si>
    <t>SMOTE</t>
  </si>
  <si>
    <t>RWO</t>
  </si>
  <si>
    <t>ROSE</t>
  </si>
  <si>
    <t>GSMOTE</t>
  </si>
  <si>
    <t>SMOTEWB</t>
  </si>
  <si>
    <t>SyMProD</t>
  </si>
  <si>
    <t>GQEO</t>
  </si>
  <si>
    <t>EBSMOTE</t>
  </si>
  <si>
    <t>deepSMOTE</t>
  </si>
  <si>
    <t>LRMV</t>
  </si>
  <si>
    <t>ecoli_0_1_4_6_vs_5</t>
  </si>
  <si>
    <t>ecoli_0_1_4_7_vs_2_3_5_6</t>
  </si>
  <si>
    <t>ecoli_0_1_4_7_vs_5_6</t>
  </si>
  <si>
    <t>ecoli_0_1_vs_2_3_5</t>
  </si>
  <si>
    <t>ecoli_0_1_vs_5</t>
  </si>
  <si>
    <t>ecoli_0_2_3_4_vs_5</t>
  </si>
  <si>
    <t>ecoli_0_3_4_7_vs_5_6</t>
  </si>
  <si>
    <t>ecoli_0_3_4_vs_5</t>
  </si>
  <si>
    <t>ecoli_0_4_6_vs_5</t>
  </si>
  <si>
    <t>ecoli_0_vs_1</t>
  </si>
  <si>
    <t>ecoli1</t>
  </si>
  <si>
    <t>ecoli2</t>
  </si>
  <si>
    <t>ecoli3</t>
  </si>
  <si>
    <t>ecoli4</t>
  </si>
  <si>
    <t>Ionosphere</t>
  </si>
  <si>
    <t>Sonar</t>
  </si>
  <si>
    <t>vehicle0</t>
  </si>
  <si>
    <t>vehicle1</t>
  </si>
  <si>
    <t>segmentationData</t>
  </si>
  <si>
    <t>khan1</t>
  </si>
  <si>
    <t>pulsar_stars</t>
  </si>
  <si>
    <t>spam</t>
  </si>
  <si>
    <t>vowel0</t>
  </si>
  <si>
    <t>Vowel3</t>
  </si>
  <si>
    <t>Fishing1</t>
  </si>
  <si>
    <t>Fishing2</t>
  </si>
  <si>
    <t>Fishing4</t>
  </si>
  <si>
    <t>abalone_19_vs_10_11_12_13</t>
  </si>
  <si>
    <t>abalone_21_vs_8</t>
  </si>
  <si>
    <t>abalone_3_vs_11</t>
  </si>
  <si>
    <t>abalone19</t>
  </si>
  <si>
    <t>abalone9_18</t>
  </si>
  <si>
    <t>glass_0_1_2_3_vs_4_5_6</t>
  </si>
  <si>
    <t>glass0</t>
  </si>
  <si>
    <t>glass1</t>
  </si>
  <si>
    <t>glass2</t>
  </si>
  <si>
    <t>glass4</t>
  </si>
  <si>
    <t>yeast_1_2_8_9_vs_7</t>
  </si>
  <si>
    <t>yeast_1_4_5_8_vs_7</t>
  </si>
  <si>
    <t>yeast_0_3_5_9_vs_7_8</t>
  </si>
  <si>
    <t>yeast4</t>
  </si>
  <si>
    <t>yeast5</t>
  </si>
  <si>
    <t>yeast6</t>
  </si>
  <si>
    <t>led7digit_0_2_4_5_6_7_8_9_vs_1</t>
  </si>
  <si>
    <t>car_vgood</t>
  </si>
  <si>
    <t>kddcup_rootkit_imap_vs_back</t>
  </si>
  <si>
    <t>kr_vs_k_three_vs_eleven</t>
  </si>
  <si>
    <t>kr_vs_k_zero_one_vs_draw</t>
  </si>
  <si>
    <t>kr_vs_k_zero_vs_fifteen</t>
  </si>
  <si>
    <t>poker_8_9_vs_6</t>
  </si>
  <si>
    <t>poker_8_vs_6</t>
  </si>
  <si>
    <t>winequality_red_4</t>
  </si>
  <si>
    <t>Abbreviation</t>
  </si>
  <si>
    <t>D1</t>
  </si>
  <si>
    <t>260/20</t>
  </si>
  <si>
    <t>D2</t>
  </si>
  <si>
    <t>307/29</t>
  </si>
  <si>
    <t>D3</t>
  </si>
  <si>
    <t>307/25</t>
  </si>
  <si>
    <t>D4</t>
  </si>
  <si>
    <t>220/24</t>
  </si>
  <si>
    <t>D5</t>
  </si>
  <si>
    <t>220/20</t>
  </si>
  <si>
    <t>D6</t>
  </si>
  <si>
    <t>182/20</t>
  </si>
  <si>
    <t>D7</t>
  </si>
  <si>
    <t>232/25</t>
  </si>
  <si>
    <t>D8</t>
  </si>
  <si>
    <t>180/20</t>
  </si>
  <si>
    <t>D9</t>
  </si>
  <si>
    <t>183/20</t>
  </si>
  <si>
    <t>D10</t>
  </si>
  <si>
    <t>143/77</t>
  </si>
  <si>
    <t>D11</t>
  </si>
  <si>
    <t>259/77</t>
  </si>
  <si>
    <t>D12</t>
  </si>
  <si>
    <t>D13</t>
  </si>
  <si>
    <t>284/52</t>
  </si>
  <si>
    <t>D14</t>
  </si>
  <si>
    <t>301/35</t>
  </si>
  <si>
    <t>D15</t>
  </si>
  <si>
    <t>316/20</t>
  </si>
  <si>
    <t>D16</t>
  </si>
  <si>
    <t>225/126</t>
  </si>
  <si>
    <t>D17</t>
  </si>
  <si>
    <t>111/97</t>
  </si>
  <si>
    <t>D18</t>
  </si>
  <si>
    <t>647/199</t>
  </si>
  <si>
    <t>D19</t>
  </si>
  <si>
    <t>629/217</t>
  </si>
  <si>
    <t>D20</t>
  </si>
  <si>
    <t>1300/719</t>
  </si>
  <si>
    <t>D21</t>
  </si>
  <si>
    <t>60/29</t>
  </si>
  <si>
    <t>D22</t>
  </si>
  <si>
    <t>16259/1639</t>
  </si>
  <si>
    <t>D23</t>
  </si>
  <si>
    <t>2788/1813</t>
  </si>
  <si>
    <t>D24</t>
  </si>
  <si>
    <t>898/90</t>
  </si>
  <si>
    <t>D25</t>
  </si>
  <si>
    <t>900/90</t>
  </si>
  <si>
    <t>D26</t>
  </si>
  <si>
    <t>1048/134</t>
  </si>
  <si>
    <t>D27</t>
  </si>
  <si>
    <t>1004/178</t>
  </si>
  <si>
    <t>D28</t>
  </si>
  <si>
    <t>730/452</t>
  </si>
  <si>
    <t>D29</t>
  </si>
  <si>
    <t>1590/32</t>
  </si>
  <si>
    <t>D30</t>
  </si>
  <si>
    <t>567/14</t>
  </si>
  <si>
    <t>D31</t>
  </si>
  <si>
    <t>487/15</t>
  </si>
  <si>
    <t>D32</t>
  </si>
  <si>
    <t>4142/32</t>
  </si>
  <si>
    <t>D33</t>
  </si>
  <si>
    <t>689/42</t>
  </si>
  <si>
    <t>D34</t>
  </si>
  <si>
    <t>163/51</t>
  </si>
  <si>
    <t>D35</t>
  </si>
  <si>
    <t>144/70</t>
  </si>
  <si>
    <t>D36</t>
  </si>
  <si>
    <t>138/76</t>
  </si>
  <si>
    <t>D37</t>
  </si>
  <si>
    <t>197/17</t>
  </si>
  <si>
    <t>D38</t>
  </si>
  <si>
    <t>201/13</t>
  </si>
  <si>
    <t>D39</t>
  </si>
  <si>
    <t>917/30</t>
  </si>
  <si>
    <t>D40</t>
  </si>
  <si>
    <t>663/30</t>
  </si>
  <si>
    <t>D41</t>
  </si>
  <si>
    <t>456/50</t>
  </si>
  <si>
    <t>D42</t>
  </si>
  <si>
    <t>1433/51</t>
  </si>
  <si>
    <t>D43</t>
  </si>
  <si>
    <t>1440/44</t>
  </si>
  <si>
    <t>D44</t>
  </si>
  <si>
    <t>1449/35</t>
  </si>
  <si>
    <t>D45</t>
  </si>
  <si>
    <t>406/37</t>
  </si>
  <si>
    <t>D46</t>
  </si>
  <si>
    <t>1663/65</t>
  </si>
  <si>
    <t>D47</t>
  </si>
  <si>
    <t>2203/22</t>
  </si>
  <si>
    <t>D48</t>
  </si>
  <si>
    <t>2854/81</t>
  </si>
  <si>
    <t>D49</t>
  </si>
  <si>
    <t>2796/105</t>
  </si>
  <si>
    <t>D50</t>
  </si>
  <si>
    <t>2166/27</t>
  </si>
  <si>
    <t>D51</t>
  </si>
  <si>
    <t>1460/25</t>
  </si>
  <si>
    <t>D52</t>
  </si>
  <si>
    <t>1460/17</t>
  </si>
  <si>
    <t>1546/53</t>
  </si>
  <si>
    <t>Dataset</t>
  </si>
  <si>
    <t>Overral</t>
  </si>
  <si>
    <t>Win</t>
  </si>
  <si>
    <t>GBM</t>
  </si>
  <si>
    <t>KNN</t>
  </si>
  <si>
    <t>LogReg</t>
  </si>
  <si>
    <t>MARS</t>
  </si>
  <si>
    <t>RF</t>
  </si>
  <si>
    <t>SVMRadial</t>
  </si>
  <si>
    <t>DT</t>
  </si>
  <si>
    <t>NNET</t>
  </si>
  <si>
    <t>AUC</t>
  </si>
  <si>
    <t>BCC</t>
  </si>
  <si>
    <t>GMEAN</t>
  </si>
  <si>
    <t>Classifier</t>
  </si>
  <si>
    <t>Metric</t>
  </si>
  <si>
    <t>Conover</t>
  </si>
  <si>
    <t>Nemenyi</t>
  </si>
  <si>
    <t>&lt;0.001</t>
  </si>
  <si>
    <t>BACC</t>
  </si>
  <si>
    <t>Test</t>
  </si>
  <si>
    <t>-</t>
  </si>
  <si>
    <t>Method</t>
  </si>
  <si>
    <t>Class distribution</t>
  </si>
  <si>
    <t>$n$</t>
  </si>
  <si>
    <t>$p$</t>
  </si>
  <si>
    <t>$p/n$</t>
  </si>
  <si>
    <t>$IR=n^{maj}/n^{min}$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</si>
</sst>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name val="Times New Roman"/>
      <family val="1"/>
      <charset val="162"/>
    </font>
    <font>
      <sz val="12"/>
      <name val="Times New Roman"/>
      <family val="1"/>
      <charset val="162"/>
    </font>
    <font>
      <sz val="12"/>
      <name val="Times New Roman"/>
      <family val="1"/>
    </font>
    <font>
      <b/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78">
    <xf numFmtId="0" fontId="0" fillId="0" borderId="0" xfId="0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4" fontId="4" fillId="0" borderId="0" xfId="1" applyNumberFormat="1" applyFont="1" applyAlignment="1">
      <alignment horizontal="center" vertical="center"/>
    </xf>
    <xf numFmtId="164" fontId="5" fillId="0" borderId="0" xfId="1" applyNumberFormat="1" applyFont="1" applyAlignment="1">
      <alignment horizontal="center" vertical="center"/>
    </xf>
    <xf numFmtId="164" fontId="4" fillId="0" borderId="2" xfId="1" applyNumberFormat="1" applyFont="1" applyBorder="1" applyAlignment="1">
      <alignment horizontal="center" vertical="center"/>
    </xf>
    <xf numFmtId="164" fontId="5" fillId="0" borderId="2" xfId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164" fontId="2" fillId="0" borderId="0" xfId="0" applyNumberFormat="1" applyFont="1" applyBorder="1" applyAlignment="1">
      <alignment horizontal="center" vertical="top"/>
    </xf>
    <xf numFmtId="164" fontId="0" fillId="0" borderId="0" xfId="0" applyNumberFormat="1" applyFon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4" fillId="0" borderId="3" xfId="1" applyNumberFormat="1" applyFont="1" applyBorder="1" applyAlignment="1">
      <alignment horizontal="center" vertical="center"/>
    </xf>
    <xf numFmtId="164" fontId="5" fillId="0" borderId="3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top"/>
    </xf>
    <xf numFmtId="164" fontId="5" fillId="0" borderId="1" xfId="1" applyNumberFormat="1" applyFont="1" applyBorder="1" applyAlignment="1">
      <alignment horizontal="center" vertical="top"/>
    </xf>
    <xf numFmtId="164" fontId="0" fillId="0" borderId="3" xfId="0" applyNumberFormat="1" applyFont="1" applyBorder="1" applyAlignment="1">
      <alignment horizontal="center" vertical="top"/>
    </xf>
    <xf numFmtId="164" fontId="2" fillId="0" borderId="1" xfId="0" applyNumberFormat="1" applyFont="1" applyBorder="1" applyAlignment="1">
      <alignment horizontal="center" vertical="top"/>
    </xf>
    <xf numFmtId="164" fontId="0" fillId="0" borderId="1" xfId="0" applyNumberFormat="1" applyFont="1" applyBorder="1" applyAlignment="1">
      <alignment horizontal="center" vertical="top"/>
    </xf>
    <xf numFmtId="164" fontId="4" fillId="0" borderId="3" xfId="1" applyNumberFormat="1" applyFont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64" fontId="0" fillId="0" borderId="4" xfId="0" applyNumberFormat="1" applyFont="1" applyBorder="1" applyAlignment="1">
      <alignment horizontal="center" vertical="top"/>
    </xf>
    <xf numFmtId="164" fontId="0" fillId="0" borderId="5" xfId="0" applyNumberFormat="1" applyFont="1" applyBorder="1" applyAlignment="1">
      <alignment horizontal="center" vertical="top"/>
    </xf>
    <xf numFmtId="164" fontId="2" fillId="0" borderId="6" xfId="0" applyNumberFormat="1" applyFont="1" applyBorder="1" applyAlignment="1">
      <alignment horizontal="center" vertical="top"/>
    </xf>
    <xf numFmtId="164" fontId="4" fillId="0" borderId="4" xfId="1" applyNumberFormat="1" applyFont="1" applyBorder="1" applyAlignment="1">
      <alignment horizontal="center" vertical="top"/>
    </xf>
    <xf numFmtId="164" fontId="4" fillId="0" borderId="5" xfId="1" applyNumberFormat="1" applyFont="1" applyBorder="1" applyAlignment="1">
      <alignment horizontal="center" vertical="top"/>
    </xf>
    <xf numFmtId="164" fontId="5" fillId="0" borderId="6" xfId="1" applyNumberFormat="1" applyFont="1" applyBorder="1" applyAlignment="1">
      <alignment horizontal="center" vertical="top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top"/>
    </xf>
    <xf numFmtId="0" fontId="7" fillId="0" borderId="0" xfId="0" applyFont="1" applyFill="1" applyBorder="1"/>
    <xf numFmtId="0" fontId="7" fillId="0" borderId="0" xfId="0" applyFont="1" applyFill="1" applyBorder="1" applyAlignment="1">
      <alignment horizontal="left" vertical="top"/>
    </xf>
    <xf numFmtId="0" fontId="7" fillId="0" borderId="1" xfId="0" applyFont="1" applyFill="1" applyBorder="1" applyAlignment="1">
      <alignment horizontal="left" vertical="top"/>
    </xf>
    <xf numFmtId="0" fontId="7" fillId="0" borderId="2" xfId="0" applyFont="1" applyFill="1" applyBorder="1" applyAlignment="1">
      <alignment horizontal="left" vertical="top"/>
    </xf>
    <xf numFmtId="0" fontId="7" fillId="0" borderId="2" xfId="0" applyFont="1" applyFill="1" applyBorder="1" applyAlignment="1">
      <alignment horizontal="center" vertical="top"/>
    </xf>
    <xf numFmtId="0" fontId="7" fillId="0" borderId="3" xfId="0" applyFont="1" applyFill="1" applyBorder="1" applyAlignment="1">
      <alignment horizontal="left" vertical="top"/>
    </xf>
    <xf numFmtId="164" fontId="6" fillId="0" borderId="0" xfId="0" applyNumberFormat="1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center" vertical="top"/>
    </xf>
    <xf numFmtId="164" fontId="6" fillId="0" borderId="3" xfId="0" applyNumberFormat="1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left" vertical="top"/>
    </xf>
    <xf numFmtId="0" fontId="6" fillId="0" borderId="3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0" fontId="6" fillId="0" borderId="1" xfId="0" applyFont="1" applyFill="1" applyBorder="1" applyAlignment="1">
      <alignment horizontal="left" vertical="top"/>
    </xf>
    <xf numFmtId="164" fontId="8" fillId="0" borderId="3" xfId="0" applyNumberFormat="1" applyFont="1" applyFill="1" applyBorder="1" applyAlignment="1">
      <alignment horizontal="center" vertical="top"/>
    </xf>
    <xf numFmtId="164" fontId="8" fillId="0" borderId="1" xfId="0" applyNumberFormat="1" applyFont="1" applyFill="1" applyBorder="1" applyAlignment="1">
      <alignment horizontal="center" vertical="top"/>
    </xf>
    <xf numFmtId="164" fontId="8" fillId="0" borderId="0" xfId="0" applyNumberFormat="1" applyFont="1" applyFill="1" applyBorder="1" applyAlignment="1">
      <alignment horizontal="center" vertical="top"/>
    </xf>
    <xf numFmtId="164" fontId="0" fillId="0" borderId="0" xfId="0" applyNumberFormat="1"/>
    <xf numFmtId="0" fontId="4" fillId="0" borderId="0" xfId="1"/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3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/>
    </xf>
    <xf numFmtId="0" fontId="7" fillId="0" borderId="3" xfId="0" applyFont="1" applyFill="1" applyBorder="1" applyAlignment="1">
      <alignment horizontal="left" vertical="top"/>
    </xf>
    <xf numFmtId="0" fontId="7" fillId="0" borderId="1" xfId="0" applyFont="1" applyFill="1" applyBorder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164" fontId="1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64" fontId="6" fillId="0" borderId="1" xfId="0" applyNumberFormat="1" applyFont="1" applyFill="1" applyBorder="1" applyAlignment="1">
      <alignment horizontal="center" vertical="top"/>
    </xf>
  </cellXfs>
  <cellStyles count="2">
    <cellStyle name="Normal" xfId="0" builtinId="0"/>
    <cellStyle name="Normal 2" xfId="1" xr:uid="{3186275E-9120-4848-875B-8815A2C7D4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A112"/>
  <sheetViews>
    <sheetView topLeftCell="A91" zoomScaleNormal="100" workbookViewId="0">
      <selection activeCell="G109" sqref="B59:N112"/>
    </sheetView>
  </sheetViews>
  <sheetFormatPr defaultRowHeight="15" x14ac:dyDescent="0.25"/>
  <cols>
    <col min="2" max="2" width="7.7109375" style="4" bestFit="1" customWidth="1"/>
    <col min="3" max="3" width="8.5703125" style="7" bestFit="1" customWidth="1"/>
    <col min="4" max="4" width="6.85546875" style="7" bestFit="1" customWidth="1"/>
    <col min="5" max="5" width="8.5703125" style="7" bestFit="1" customWidth="1"/>
    <col min="6" max="6" width="6.85546875" style="7" bestFit="1" customWidth="1"/>
    <col min="7" max="7" width="7.7109375" style="7" bestFit="1" customWidth="1"/>
    <col min="8" max="8" width="10.140625" style="7" bestFit="1" customWidth="1"/>
    <col min="9" max="9" width="11.7109375" style="7" bestFit="1" customWidth="1"/>
    <col min="10" max="10" width="10.140625" style="7" bestFit="1" customWidth="1"/>
    <col min="11" max="11" width="7.42578125" style="7" bestFit="1" customWidth="1"/>
    <col min="12" max="12" width="11.140625" style="7" bestFit="1" customWidth="1"/>
    <col min="13" max="13" width="13.42578125" style="7" bestFit="1" customWidth="1"/>
    <col min="14" max="14" width="7.140625" style="7" bestFit="1" customWidth="1"/>
  </cols>
  <sheetData>
    <row r="2" spans="2:27" x14ac:dyDescent="0.25">
      <c r="B2" s="3" t="s">
        <v>169</v>
      </c>
      <c r="C2" s="6" t="s">
        <v>0</v>
      </c>
      <c r="D2" s="6" t="s">
        <v>1</v>
      </c>
      <c r="E2" s="6" t="s">
        <v>2</v>
      </c>
      <c r="F2" s="6" t="s">
        <v>3</v>
      </c>
      <c r="G2" s="6" t="s">
        <v>4</v>
      </c>
      <c r="H2" s="6" t="s">
        <v>5</v>
      </c>
      <c r="I2" s="6" t="s">
        <v>6</v>
      </c>
      <c r="J2" s="6" t="s">
        <v>7</v>
      </c>
      <c r="K2" s="6" t="s">
        <v>8</v>
      </c>
      <c r="L2" s="6" t="s">
        <v>9</v>
      </c>
      <c r="M2" s="6" t="s">
        <v>10</v>
      </c>
      <c r="N2" s="6" t="s">
        <v>11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6</v>
      </c>
      <c r="W2" s="1" t="s">
        <v>7</v>
      </c>
      <c r="X2" s="1" t="s">
        <v>8</v>
      </c>
      <c r="Y2" s="1" t="s">
        <v>9</v>
      </c>
      <c r="Z2" s="1" t="s">
        <v>10</v>
      </c>
      <c r="AA2" s="1" t="s">
        <v>11</v>
      </c>
    </row>
    <row r="3" spans="2:27" x14ac:dyDescent="0.25">
      <c r="B3" s="4" t="s">
        <v>65</v>
      </c>
      <c r="C3" s="8">
        <v>6</v>
      </c>
      <c r="D3" s="8">
        <v>6.6875</v>
      </c>
      <c r="E3" s="8">
        <v>7.3125</v>
      </c>
      <c r="F3" s="8">
        <v>7.625</v>
      </c>
      <c r="G3" s="8">
        <v>7.5</v>
      </c>
      <c r="H3" s="8">
        <v>6.125</v>
      </c>
      <c r="I3" s="8">
        <v>5.0625</v>
      </c>
      <c r="J3" s="9">
        <v>4.3125</v>
      </c>
      <c r="K3" s="8">
        <v>6.125</v>
      </c>
      <c r="L3" s="8">
        <v>7.25</v>
      </c>
      <c r="M3" s="8">
        <v>8.875</v>
      </c>
      <c r="N3" s="8">
        <v>5.125</v>
      </c>
      <c r="P3">
        <f>IF(C3=MIN($C3:$N3),1,0)</f>
        <v>0</v>
      </c>
      <c r="Q3">
        <f t="shared" ref="Q3:AA3" si="0">IF(D3=MIN($C3:$N3),1,0)</f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W3">
        <f t="shared" si="0"/>
        <v>1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0</v>
      </c>
    </row>
    <row r="4" spans="2:27" x14ac:dyDescent="0.25">
      <c r="B4" s="4" t="s">
        <v>67</v>
      </c>
      <c r="C4" s="8">
        <v>5.875</v>
      </c>
      <c r="D4" s="8">
        <v>6.875</v>
      </c>
      <c r="E4" s="8">
        <v>5.5</v>
      </c>
      <c r="F4" s="8">
        <v>6.75</v>
      </c>
      <c r="G4" s="8">
        <v>7</v>
      </c>
      <c r="H4" s="8">
        <v>5.375</v>
      </c>
      <c r="I4" s="8">
        <v>6.125</v>
      </c>
      <c r="J4" s="8">
        <v>6.125</v>
      </c>
      <c r="K4" s="8">
        <v>7</v>
      </c>
      <c r="L4" s="8">
        <v>9.125</v>
      </c>
      <c r="M4" s="8">
        <v>9.625</v>
      </c>
      <c r="N4" s="9">
        <v>2.625</v>
      </c>
      <c r="P4">
        <f t="shared" ref="P4:P54" si="1">IF(C4=MIN($C4:$N4),1,0)</f>
        <v>0</v>
      </c>
      <c r="Q4">
        <f t="shared" ref="Q4:Q54" si="2">IF(D4=MIN($C4:$N4),1,0)</f>
        <v>0</v>
      </c>
      <c r="R4">
        <f t="shared" ref="R4:R54" si="3">IF(E4=MIN($C4:$N4),1,0)</f>
        <v>0</v>
      </c>
      <c r="S4">
        <f t="shared" ref="S4:S54" si="4">IF(F4=MIN($C4:$N4),1,0)</f>
        <v>0</v>
      </c>
      <c r="T4">
        <f t="shared" ref="T4:T54" si="5">IF(G4=MIN($C4:$N4),1,0)</f>
        <v>0</v>
      </c>
      <c r="U4">
        <f t="shared" ref="U4:U54" si="6">IF(H4=MIN($C4:$N4),1,0)</f>
        <v>0</v>
      </c>
      <c r="V4">
        <f t="shared" ref="V4:V54" si="7">IF(I4=MIN($C4:$N4),1,0)</f>
        <v>0</v>
      </c>
      <c r="W4">
        <f t="shared" ref="W4:W54" si="8">IF(J4=MIN($C4:$N4),1,0)</f>
        <v>0</v>
      </c>
      <c r="X4">
        <f t="shared" ref="X4:X54" si="9">IF(K4=MIN($C4:$N4),1,0)</f>
        <v>0</v>
      </c>
      <c r="Y4">
        <f t="shared" ref="Y4:Y54" si="10">IF(L4=MIN($C4:$N4),1,0)</f>
        <v>0</v>
      </c>
      <c r="Z4">
        <f t="shared" ref="Z4:Z54" si="11">IF(M4=MIN($C4:$N4),1,0)</f>
        <v>0</v>
      </c>
      <c r="AA4">
        <f t="shared" ref="AA4:AA54" si="12">IF(N4=MIN($C4:$N4),1,0)</f>
        <v>1</v>
      </c>
    </row>
    <row r="5" spans="2:27" x14ac:dyDescent="0.25">
      <c r="B5" s="4" t="s">
        <v>69</v>
      </c>
      <c r="C5" s="8">
        <v>7</v>
      </c>
      <c r="D5" s="8">
        <v>9.125</v>
      </c>
      <c r="E5" s="8">
        <v>4.9375</v>
      </c>
      <c r="F5" s="8">
        <v>7</v>
      </c>
      <c r="G5" s="8">
        <v>7.5</v>
      </c>
      <c r="H5" s="8">
        <v>5.5</v>
      </c>
      <c r="I5" s="8">
        <v>5</v>
      </c>
      <c r="J5" s="8">
        <v>6.8125</v>
      </c>
      <c r="K5" s="8">
        <v>9.0625</v>
      </c>
      <c r="L5" s="8">
        <v>5.875</v>
      </c>
      <c r="M5" s="8">
        <v>6.9375</v>
      </c>
      <c r="N5" s="9">
        <v>3.25</v>
      </c>
      <c r="P5">
        <f t="shared" si="1"/>
        <v>0</v>
      </c>
      <c r="Q5">
        <f t="shared" si="2"/>
        <v>0</v>
      </c>
      <c r="R5">
        <f t="shared" si="3"/>
        <v>0</v>
      </c>
      <c r="S5">
        <f t="shared" si="4"/>
        <v>0</v>
      </c>
      <c r="T5">
        <f t="shared" si="5"/>
        <v>0</v>
      </c>
      <c r="U5">
        <f t="shared" si="6"/>
        <v>0</v>
      </c>
      <c r="V5">
        <f t="shared" si="7"/>
        <v>0</v>
      </c>
      <c r="W5">
        <f t="shared" si="8"/>
        <v>0</v>
      </c>
      <c r="X5">
        <f t="shared" si="9"/>
        <v>0</v>
      </c>
      <c r="Y5">
        <f t="shared" si="10"/>
        <v>0</v>
      </c>
      <c r="Z5">
        <f t="shared" si="11"/>
        <v>0</v>
      </c>
      <c r="AA5">
        <f t="shared" si="12"/>
        <v>1</v>
      </c>
    </row>
    <row r="6" spans="2:27" x14ac:dyDescent="0.25">
      <c r="B6" s="4" t="s">
        <v>71</v>
      </c>
      <c r="C6" s="8">
        <v>5.9375</v>
      </c>
      <c r="D6" s="8">
        <v>9.5625</v>
      </c>
      <c r="E6" s="8">
        <v>9.1875</v>
      </c>
      <c r="F6" s="8">
        <v>6.9375</v>
      </c>
      <c r="G6" s="8">
        <v>6.875</v>
      </c>
      <c r="H6" s="8">
        <v>4.5625</v>
      </c>
      <c r="I6" s="8">
        <v>7.8125</v>
      </c>
      <c r="J6" s="8">
        <v>7.25</v>
      </c>
      <c r="K6" s="8">
        <v>6.5625</v>
      </c>
      <c r="L6" s="8">
        <v>5.375</v>
      </c>
      <c r="M6" s="8">
        <v>5.5</v>
      </c>
      <c r="N6" s="9">
        <v>2.4375</v>
      </c>
      <c r="P6">
        <f t="shared" si="1"/>
        <v>0</v>
      </c>
      <c r="Q6">
        <f t="shared" si="2"/>
        <v>0</v>
      </c>
      <c r="R6">
        <f t="shared" si="3"/>
        <v>0</v>
      </c>
      <c r="S6">
        <f t="shared" si="4"/>
        <v>0</v>
      </c>
      <c r="T6">
        <f t="shared" si="5"/>
        <v>0</v>
      </c>
      <c r="U6">
        <f t="shared" si="6"/>
        <v>0</v>
      </c>
      <c r="V6">
        <f t="shared" si="7"/>
        <v>0</v>
      </c>
      <c r="W6">
        <f t="shared" si="8"/>
        <v>0</v>
      </c>
      <c r="X6">
        <f t="shared" si="9"/>
        <v>0</v>
      </c>
      <c r="Y6">
        <f t="shared" si="10"/>
        <v>0</v>
      </c>
      <c r="Z6">
        <f t="shared" si="11"/>
        <v>0</v>
      </c>
      <c r="AA6">
        <f t="shared" si="12"/>
        <v>1</v>
      </c>
    </row>
    <row r="7" spans="2:27" x14ac:dyDescent="0.25">
      <c r="B7" s="4" t="s">
        <v>73</v>
      </c>
      <c r="C7" s="8">
        <v>6.0625</v>
      </c>
      <c r="D7" s="8">
        <v>5.4375</v>
      </c>
      <c r="E7" s="8">
        <v>7.375</v>
      </c>
      <c r="F7" s="8">
        <v>6.5625</v>
      </c>
      <c r="G7" s="8">
        <v>5.75</v>
      </c>
      <c r="H7" s="8">
        <v>6.6875</v>
      </c>
      <c r="I7" s="8">
        <v>8.75</v>
      </c>
      <c r="J7" s="8">
        <v>6</v>
      </c>
      <c r="K7" s="8">
        <v>6.125</v>
      </c>
      <c r="L7" s="8">
        <v>6.375</v>
      </c>
      <c r="M7" s="8">
        <v>7.9375</v>
      </c>
      <c r="N7" s="9">
        <v>4.9375</v>
      </c>
      <c r="P7">
        <f t="shared" si="1"/>
        <v>0</v>
      </c>
      <c r="Q7">
        <f t="shared" si="2"/>
        <v>0</v>
      </c>
      <c r="R7">
        <f t="shared" si="3"/>
        <v>0</v>
      </c>
      <c r="S7">
        <f t="shared" si="4"/>
        <v>0</v>
      </c>
      <c r="T7">
        <f t="shared" si="5"/>
        <v>0</v>
      </c>
      <c r="U7">
        <f t="shared" si="6"/>
        <v>0</v>
      </c>
      <c r="V7">
        <f t="shared" si="7"/>
        <v>0</v>
      </c>
      <c r="W7">
        <f t="shared" si="8"/>
        <v>0</v>
      </c>
      <c r="X7">
        <f t="shared" si="9"/>
        <v>0</v>
      </c>
      <c r="Y7">
        <f t="shared" si="10"/>
        <v>0</v>
      </c>
      <c r="Z7">
        <f t="shared" si="11"/>
        <v>0</v>
      </c>
      <c r="AA7">
        <f t="shared" si="12"/>
        <v>1</v>
      </c>
    </row>
    <row r="8" spans="2:27" x14ac:dyDescent="0.25">
      <c r="B8" s="4" t="s">
        <v>75</v>
      </c>
      <c r="C8" s="8">
        <v>7</v>
      </c>
      <c r="D8" s="8">
        <v>7.25</v>
      </c>
      <c r="E8" s="8">
        <v>5.5</v>
      </c>
      <c r="F8" s="8">
        <v>6.375</v>
      </c>
      <c r="G8" s="8">
        <v>7.5625</v>
      </c>
      <c r="H8" s="8">
        <v>4.625</v>
      </c>
      <c r="I8" s="8">
        <v>8</v>
      </c>
      <c r="J8" s="9">
        <v>4.375</v>
      </c>
      <c r="K8" s="8">
        <v>6.5625</v>
      </c>
      <c r="L8" s="8">
        <v>8.375</v>
      </c>
      <c r="M8" s="8">
        <v>7.9375</v>
      </c>
      <c r="N8" s="8">
        <v>4.4375</v>
      </c>
      <c r="P8">
        <f t="shared" si="1"/>
        <v>0</v>
      </c>
      <c r="Q8">
        <f t="shared" si="2"/>
        <v>0</v>
      </c>
      <c r="R8">
        <f t="shared" si="3"/>
        <v>0</v>
      </c>
      <c r="S8">
        <f t="shared" si="4"/>
        <v>0</v>
      </c>
      <c r="T8">
        <f t="shared" si="5"/>
        <v>0</v>
      </c>
      <c r="U8">
        <f t="shared" si="6"/>
        <v>0</v>
      </c>
      <c r="V8">
        <f t="shared" si="7"/>
        <v>0</v>
      </c>
      <c r="W8">
        <f t="shared" si="8"/>
        <v>1</v>
      </c>
      <c r="X8">
        <f t="shared" si="9"/>
        <v>0</v>
      </c>
      <c r="Y8">
        <f t="shared" si="10"/>
        <v>0</v>
      </c>
      <c r="Z8">
        <f t="shared" si="11"/>
        <v>0</v>
      </c>
      <c r="AA8">
        <f t="shared" si="12"/>
        <v>0</v>
      </c>
    </row>
    <row r="9" spans="2:27" x14ac:dyDescent="0.25">
      <c r="B9" s="4" t="s">
        <v>77</v>
      </c>
      <c r="C9" s="8">
        <v>5.4375</v>
      </c>
      <c r="D9" s="8">
        <v>4.5</v>
      </c>
      <c r="E9" s="8">
        <v>8.8125</v>
      </c>
      <c r="F9" s="8">
        <v>5.6875</v>
      </c>
      <c r="G9" s="8">
        <v>9.125</v>
      </c>
      <c r="H9" s="9">
        <v>4.25</v>
      </c>
      <c r="I9" s="8">
        <v>7.9375</v>
      </c>
      <c r="J9" s="8">
        <v>8.0625</v>
      </c>
      <c r="K9" s="8">
        <v>7.125</v>
      </c>
      <c r="L9" s="8">
        <v>6.625</v>
      </c>
      <c r="M9" s="8">
        <v>5.6875</v>
      </c>
      <c r="N9" s="8">
        <v>4.75</v>
      </c>
      <c r="P9">
        <f t="shared" si="1"/>
        <v>0</v>
      </c>
      <c r="Q9">
        <f t="shared" si="2"/>
        <v>0</v>
      </c>
      <c r="R9">
        <f t="shared" si="3"/>
        <v>0</v>
      </c>
      <c r="S9">
        <f t="shared" si="4"/>
        <v>0</v>
      </c>
      <c r="T9">
        <f t="shared" si="5"/>
        <v>0</v>
      </c>
      <c r="U9">
        <f t="shared" si="6"/>
        <v>1</v>
      </c>
      <c r="V9">
        <f t="shared" si="7"/>
        <v>0</v>
      </c>
      <c r="W9">
        <f t="shared" si="8"/>
        <v>0</v>
      </c>
      <c r="X9">
        <f t="shared" si="9"/>
        <v>0</v>
      </c>
      <c r="Y9">
        <f t="shared" si="10"/>
        <v>0</v>
      </c>
      <c r="Z9">
        <f t="shared" si="11"/>
        <v>0</v>
      </c>
      <c r="AA9">
        <f t="shared" si="12"/>
        <v>0</v>
      </c>
    </row>
    <row r="10" spans="2:27" x14ac:dyDescent="0.25">
      <c r="B10" s="4" t="s">
        <v>79</v>
      </c>
      <c r="C10" s="8">
        <v>6.125</v>
      </c>
      <c r="D10" s="8">
        <v>6.375</v>
      </c>
      <c r="E10" s="8">
        <v>8.9375</v>
      </c>
      <c r="F10" s="8">
        <v>6</v>
      </c>
      <c r="G10" s="8">
        <v>7.375</v>
      </c>
      <c r="H10" s="8">
        <v>6.25</v>
      </c>
      <c r="I10" s="8">
        <v>7.125</v>
      </c>
      <c r="J10" s="8">
        <v>5.4375</v>
      </c>
      <c r="K10" s="8">
        <v>6.0625</v>
      </c>
      <c r="L10" s="8">
        <v>6.3125</v>
      </c>
      <c r="M10" s="8">
        <v>7.4375</v>
      </c>
      <c r="N10" s="9">
        <v>4.5625</v>
      </c>
      <c r="P10">
        <f t="shared" si="1"/>
        <v>0</v>
      </c>
      <c r="Q10">
        <f t="shared" si="2"/>
        <v>0</v>
      </c>
      <c r="R10">
        <f t="shared" si="3"/>
        <v>0</v>
      </c>
      <c r="S10">
        <f t="shared" si="4"/>
        <v>0</v>
      </c>
      <c r="T10">
        <f t="shared" si="5"/>
        <v>0</v>
      </c>
      <c r="U10">
        <f t="shared" si="6"/>
        <v>0</v>
      </c>
      <c r="V10">
        <f t="shared" si="7"/>
        <v>0</v>
      </c>
      <c r="W10">
        <f t="shared" si="8"/>
        <v>0</v>
      </c>
      <c r="X10">
        <f t="shared" si="9"/>
        <v>0</v>
      </c>
      <c r="Y10">
        <f t="shared" si="10"/>
        <v>0</v>
      </c>
      <c r="Z10">
        <f t="shared" si="11"/>
        <v>0</v>
      </c>
      <c r="AA10">
        <f t="shared" si="12"/>
        <v>1</v>
      </c>
    </row>
    <row r="11" spans="2:27" x14ac:dyDescent="0.25">
      <c r="B11" s="4" t="s">
        <v>81</v>
      </c>
      <c r="C11" s="8">
        <v>7.4375</v>
      </c>
      <c r="D11" s="8">
        <v>7.375</v>
      </c>
      <c r="E11" s="8">
        <v>8.1875</v>
      </c>
      <c r="F11" s="8">
        <v>6.625</v>
      </c>
      <c r="G11" s="8">
        <v>7.1875</v>
      </c>
      <c r="H11" s="8">
        <v>5.375</v>
      </c>
      <c r="I11" s="8">
        <v>6.375</v>
      </c>
      <c r="J11" s="8">
        <v>6.75</v>
      </c>
      <c r="K11" s="8">
        <v>5</v>
      </c>
      <c r="L11" s="8">
        <v>6.375</v>
      </c>
      <c r="M11" s="8">
        <v>8.4375</v>
      </c>
      <c r="N11" s="9">
        <v>2.875</v>
      </c>
      <c r="P11">
        <f t="shared" si="1"/>
        <v>0</v>
      </c>
      <c r="Q11">
        <f t="shared" si="2"/>
        <v>0</v>
      </c>
      <c r="R11">
        <f t="shared" si="3"/>
        <v>0</v>
      </c>
      <c r="S11">
        <f t="shared" si="4"/>
        <v>0</v>
      </c>
      <c r="T11">
        <f t="shared" si="5"/>
        <v>0</v>
      </c>
      <c r="U11">
        <f t="shared" si="6"/>
        <v>0</v>
      </c>
      <c r="V11">
        <f t="shared" si="7"/>
        <v>0</v>
      </c>
      <c r="W11">
        <f t="shared" si="8"/>
        <v>0</v>
      </c>
      <c r="X11">
        <f t="shared" si="9"/>
        <v>0</v>
      </c>
      <c r="Y11">
        <f t="shared" si="10"/>
        <v>0</v>
      </c>
      <c r="Z11">
        <f t="shared" si="11"/>
        <v>0</v>
      </c>
      <c r="AA11">
        <f t="shared" si="12"/>
        <v>1</v>
      </c>
    </row>
    <row r="12" spans="2:27" x14ac:dyDescent="0.25">
      <c r="B12" s="4" t="s">
        <v>83</v>
      </c>
      <c r="C12" s="8">
        <v>6.8125</v>
      </c>
      <c r="D12" s="8">
        <v>8.25</v>
      </c>
      <c r="E12" s="8">
        <v>5</v>
      </c>
      <c r="F12" s="8">
        <v>6.0625</v>
      </c>
      <c r="G12" s="8">
        <v>7.75</v>
      </c>
      <c r="H12" s="8">
        <v>5.25</v>
      </c>
      <c r="I12" s="8">
        <v>7.1875</v>
      </c>
      <c r="J12" s="8">
        <v>9.125</v>
      </c>
      <c r="K12" s="9">
        <v>4.0625</v>
      </c>
      <c r="L12" s="8">
        <v>6.9375</v>
      </c>
      <c r="M12" s="8">
        <v>7.25</v>
      </c>
      <c r="N12" s="8">
        <v>4.3125</v>
      </c>
      <c r="P12">
        <f t="shared" si="1"/>
        <v>0</v>
      </c>
      <c r="Q12">
        <f t="shared" si="2"/>
        <v>0</v>
      </c>
      <c r="R12">
        <f t="shared" si="3"/>
        <v>0</v>
      </c>
      <c r="S12">
        <f t="shared" si="4"/>
        <v>0</v>
      </c>
      <c r="T12">
        <f t="shared" si="5"/>
        <v>0</v>
      </c>
      <c r="U12">
        <f t="shared" si="6"/>
        <v>0</v>
      </c>
      <c r="V12">
        <f t="shared" si="7"/>
        <v>0</v>
      </c>
      <c r="W12">
        <f t="shared" si="8"/>
        <v>0</v>
      </c>
      <c r="X12">
        <f t="shared" si="9"/>
        <v>1</v>
      </c>
      <c r="Y12">
        <f t="shared" si="10"/>
        <v>0</v>
      </c>
      <c r="Z12">
        <f t="shared" si="11"/>
        <v>0</v>
      </c>
      <c r="AA12">
        <f t="shared" si="12"/>
        <v>0</v>
      </c>
    </row>
    <row r="13" spans="2:27" x14ac:dyDescent="0.25">
      <c r="B13" s="4" t="s">
        <v>85</v>
      </c>
      <c r="C13" s="8">
        <v>6.75</v>
      </c>
      <c r="D13" s="8">
        <v>8.5</v>
      </c>
      <c r="E13" s="8">
        <v>7.75</v>
      </c>
      <c r="F13" s="8">
        <v>8.5</v>
      </c>
      <c r="G13" s="9">
        <v>3.0625</v>
      </c>
      <c r="H13" s="8">
        <v>7.875</v>
      </c>
      <c r="I13" s="8">
        <v>7.875</v>
      </c>
      <c r="J13" s="8">
        <v>5.0625</v>
      </c>
      <c r="K13" s="8">
        <v>4.75</v>
      </c>
      <c r="L13" s="8">
        <v>7</v>
      </c>
      <c r="M13" s="8">
        <v>5.875</v>
      </c>
      <c r="N13" s="8">
        <v>5</v>
      </c>
      <c r="P13">
        <f t="shared" si="1"/>
        <v>0</v>
      </c>
      <c r="Q13">
        <f t="shared" si="2"/>
        <v>0</v>
      </c>
      <c r="R13">
        <f t="shared" si="3"/>
        <v>0</v>
      </c>
      <c r="S13">
        <f t="shared" si="4"/>
        <v>0</v>
      </c>
      <c r="T13">
        <f t="shared" si="5"/>
        <v>1</v>
      </c>
      <c r="U13">
        <f t="shared" si="6"/>
        <v>0</v>
      </c>
      <c r="V13">
        <f t="shared" si="7"/>
        <v>0</v>
      </c>
      <c r="W13">
        <f t="shared" si="8"/>
        <v>0</v>
      </c>
      <c r="X13">
        <f t="shared" si="9"/>
        <v>0</v>
      </c>
      <c r="Y13">
        <f t="shared" si="10"/>
        <v>0</v>
      </c>
      <c r="Z13">
        <f t="shared" si="11"/>
        <v>0</v>
      </c>
      <c r="AA13">
        <f t="shared" si="12"/>
        <v>0</v>
      </c>
    </row>
    <row r="14" spans="2:27" x14ac:dyDescent="0.25">
      <c r="B14" s="4" t="s">
        <v>87</v>
      </c>
      <c r="C14" s="8">
        <v>6.75</v>
      </c>
      <c r="D14" s="8">
        <v>5.375</v>
      </c>
      <c r="E14" s="8">
        <v>6.375</v>
      </c>
      <c r="F14" s="8">
        <v>7.75</v>
      </c>
      <c r="G14" s="8">
        <v>4.875</v>
      </c>
      <c r="H14" s="8">
        <v>6.125</v>
      </c>
      <c r="I14" s="8">
        <v>6.5</v>
      </c>
      <c r="J14" s="8">
        <v>5.625</v>
      </c>
      <c r="K14" s="8">
        <v>8.125</v>
      </c>
      <c r="L14" s="8">
        <v>10.75</v>
      </c>
      <c r="M14" s="8">
        <v>6.25</v>
      </c>
      <c r="N14" s="9">
        <v>3.5</v>
      </c>
      <c r="P14">
        <f t="shared" si="1"/>
        <v>0</v>
      </c>
      <c r="Q14">
        <f t="shared" si="2"/>
        <v>0</v>
      </c>
      <c r="R14">
        <f t="shared" si="3"/>
        <v>0</v>
      </c>
      <c r="S14">
        <f t="shared" si="4"/>
        <v>0</v>
      </c>
      <c r="T14">
        <f t="shared" si="5"/>
        <v>0</v>
      </c>
      <c r="U14">
        <f t="shared" si="6"/>
        <v>0</v>
      </c>
      <c r="V14">
        <f t="shared" si="7"/>
        <v>0</v>
      </c>
      <c r="W14">
        <f t="shared" si="8"/>
        <v>0</v>
      </c>
      <c r="X14">
        <f t="shared" si="9"/>
        <v>0</v>
      </c>
      <c r="Y14">
        <f t="shared" si="10"/>
        <v>0</v>
      </c>
      <c r="Z14">
        <f t="shared" si="11"/>
        <v>0</v>
      </c>
      <c r="AA14">
        <f t="shared" si="12"/>
        <v>1</v>
      </c>
    </row>
    <row r="15" spans="2:27" x14ac:dyDescent="0.25">
      <c r="B15" s="4" t="s">
        <v>88</v>
      </c>
      <c r="C15" s="8">
        <v>7.5</v>
      </c>
      <c r="D15" s="8">
        <v>8.25</v>
      </c>
      <c r="E15" s="8">
        <v>7.375</v>
      </c>
      <c r="F15" s="8">
        <v>6.75</v>
      </c>
      <c r="G15" s="8">
        <v>3.25</v>
      </c>
      <c r="H15" s="8">
        <v>5</v>
      </c>
      <c r="I15" s="8">
        <v>7.375</v>
      </c>
      <c r="J15" s="8">
        <v>7.6875</v>
      </c>
      <c r="K15" s="8">
        <v>6.0625</v>
      </c>
      <c r="L15" s="8">
        <v>6.4375</v>
      </c>
      <c r="M15" s="8">
        <v>9.1875</v>
      </c>
      <c r="N15" s="9">
        <v>3.125</v>
      </c>
      <c r="P15">
        <f t="shared" si="1"/>
        <v>0</v>
      </c>
      <c r="Q15">
        <f t="shared" si="2"/>
        <v>0</v>
      </c>
      <c r="R15">
        <f t="shared" si="3"/>
        <v>0</v>
      </c>
      <c r="S15">
        <f t="shared" si="4"/>
        <v>0</v>
      </c>
      <c r="T15">
        <f t="shared" si="5"/>
        <v>0</v>
      </c>
      <c r="U15">
        <f t="shared" si="6"/>
        <v>0</v>
      </c>
      <c r="V15">
        <f t="shared" si="7"/>
        <v>0</v>
      </c>
      <c r="W15">
        <f t="shared" si="8"/>
        <v>0</v>
      </c>
      <c r="X15">
        <f t="shared" si="9"/>
        <v>0</v>
      </c>
      <c r="Y15">
        <f t="shared" si="10"/>
        <v>0</v>
      </c>
      <c r="Z15">
        <f t="shared" si="11"/>
        <v>0</v>
      </c>
      <c r="AA15">
        <f t="shared" si="12"/>
        <v>1</v>
      </c>
    </row>
    <row r="16" spans="2:27" x14ac:dyDescent="0.25">
      <c r="B16" s="4" t="s">
        <v>90</v>
      </c>
      <c r="C16" s="8">
        <v>7.0625</v>
      </c>
      <c r="D16" s="8">
        <v>6.6875</v>
      </c>
      <c r="E16" s="8">
        <v>5.9375</v>
      </c>
      <c r="F16" s="8">
        <v>7</v>
      </c>
      <c r="G16" s="9">
        <v>4.3125</v>
      </c>
      <c r="H16" s="8">
        <v>5.1875</v>
      </c>
      <c r="I16" s="8">
        <v>7.75</v>
      </c>
      <c r="J16" s="8">
        <v>7.3125</v>
      </c>
      <c r="K16" s="8">
        <v>8.1875</v>
      </c>
      <c r="L16" s="8">
        <v>8.5</v>
      </c>
      <c r="M16" s="8">
        <v>5.375</v>
      </c>
      <c r="N16" s="8">
        <v>4.6875</v>
      </c>
      <c r="P16">
        <f t="shared" si="1"/>
        <v>0</v>
      </c>
      <c r="Q16">
        <f t="shared" si="2"/>
        <v>0</v>
      </c>
      <c r="R16">
        <f t="shared" si="3"/>
        <v>0</v>
      </c>
      <c r="S16">
        <f t="shared" si="4"/>
        <v>0</v>
      </c>
      <c r="T16">
        <f t="shared" si="5"/>
        <v>1</v>
      </c>
      <c r="U16">
        <f t="shared" si="6"/>
        <v>0</v>
      </c>
      <c r="V16">
        <f t="shared" si="7"/>
        <v>0</v>
      </c>
      <c r="W16">
        <f t="shared" si="8"/>
        <v>0</v>
      </c>
      <c r="X16">
        <f t="shared" si="9"/>
        <v>0</v>
      </c>
      <c r="Y16">
        <f t="shared" si="10"/>
        <v>0</v>
      </c>
      <c r="Z16">
        <f t="shared" si="11"/>
        <v>0</v>
      </c>
      <c r="AA16">
        <f t="shared" si="12"/>
        <v>0</v>
      </c>
    </row>
    <row r="17" spans="2:27" x14ac:dyDescent="0.25">
      <c r="B17" s="4" t="s">
        <v>92</v>
      </c>
      <c r="C17" s="8">
        <v>9.5</v>
      </c>
      <c r="D17" s="9">
        <v>3.125</v>
      </c>
      <c r="E17" s="8">
        <v>5.5</v>
      </c>
      <c r="F17" s="8">
        <v>5.4375</v>
      </c>
      <c r="G17" s="8">
        <v>5.5625</v>
      </c>
      <c r="H17" s="8">
        <v>6.5</v>
      </c>
      <c r="I17" s="8">
        <v>9.25</v>
      </c>
      <c r="J17" s="8">
        <v>8.375</v>
      </c>
      <c r="K17" s="8">
        <v>6</v>
      </c>
      <c r="L17" s="8">
        <v>6.875</v>
      </c>
      <c r="M17" s="8">
        <v>7.5</v>
      </c>
      <c r="N17" s="8">
        <v>4.375</v>
      </c>
      <c r="P17">
        <f t="shared" si="1"/>
        <v>0</v>
      </c>
      <c r="Q17">
        <f t="shared" si="2"/>
        <v>1</v>
      </c>
      <c r="R17">
        <f t="shared" si="3"/>
        <v>0</v>
      </c>
      <c r="S17">
        <f t="shared" si="4"/>
        <v>0</v>
      </c>
      <c r="T17">
        <f t="shared" si="5"/>
        <v>0</v>
      </c>
      <c r="U17">
        <f t="shared" si="6"/>
        <v>0</v>
      </c>
      <c r="V17">
        <f t="shared" si="7"/>
        <v>0</v>
      </c>
      <c r="W17">
        <f t="shared" si="8"/>
        <v>0</v>
      </c>
      <c r="X17">
        <f t="shared" si="9"/>
        <v>0</v>
      </c>
      <c r="Y17">
        <f t="shared" si="10"/>
        <v>0</v>
      </c>
      <c r="Z17">
        <f t="shared" si="11"/>
        <v>0</v>
      </c>
      <c r="AA17">
        <f t="shared" si="12"/>
        <v>0</v>
      </c>
    </row>
    <row r="18" spans="2:27" x14ac:dyDescent="0.25">
      <c r="B18" s="4" t="s">
        <v>94</v>
      </c>
      <c r="C18" s="8">
        <v>5.8125</v>
      </c>
      <c r="D18" s="8">
        <v>5.75</v>
      </c>
      <c r="E18" s="8">
        <v>5.1875</v>
      </c>
      <c r="F18" s="8">
        <v>6.625</v>
      </c>
      <c r="G18" s="8">
        <v>9.25</v>
      </c>
      <c r="H18" s="9">
        <v>4.8125</v>
      </c>
      <c r="I18" s="8">
        <v>7</v>
      </c>
      <c r="J18" s="8">
        <v>6.125</v>
      </c>
      <c r="K18" s="8">
        <v>6.875</v>
      </c>
      <c r="L18" s="8">
        <v>6.5625</v>
      </c>
      <c r="M18" s="8">
        <v>7.5</v>
      </c>
      <c r="N18" s="8">
        <v>6.5</v>
      </c>
      <c r="P18">
        <f t="shared" si="1"/>
        <v>0</v>
      </c>
      <c r="Q18">
        <f t="shared" si="2"/>
        <v>0</v>
      </c>
      <c r="R18">
        <f t="shared" si="3"/>
        <v>0</v>
      </c>
      <c r="S18">
        <f t="shared" si="4"/>
        <v>0</v>
      </c>
      <c r="T18">
        <f t="shared" si="5"/>
        <v>0</v>
      </c>
      <c r="U18">
        <f t="shared" si="6"/>
        <v>1</v>
      </c>
      <c r="V18">
        <f t="shared" si="7"/>
        <v>0</v>
      </c>
      <c r="W18">
        <f t="shared" si="8"/>
        <v>0</v>
      </c>
      <c r="X18">
        <f t="shared" si="9"/>
        <v>0</v>
      </c>
      <c r="Y18">
        <f t="shared" si="10"/>
        <v>0</v>
      </c>
      <c r="Z18">
        <f t="shared" si="11"/>
        <v>0</v>
      </c>
      <c r="AA18">
        <f t="shared" si="12"/>
        <v>0</v>
      </c>
    </row>
    <row r="19" spans="2:27" x14ac:dyDescent="0.25">
      <c r="B19" s="4" t="s">
        <v>96</v>
      </c>
      <c r="C19" s="8">
        <v>5.5</v>
      </c>
      <c r="D19" s="8">
        <v>6.3125</v>
      </c>
      <c r="E19" s="8">
        <v>5.875</v>
      </c>
      <c r="F19" s="9">
        <v>5</v>
      </c>
      <c r="G19" s="8">
        <v>5.875</v>
      </c>
      <c r="H19" s="8">
        <v>6</v>
      </c>
      <c r="I19" s="8">
        <v>7.875</v>
      </c>
      <c r="J19" s="8">
        <v>5.8125</v>
      </c>
      <c r="K19" s="8">
        <v>8</v>
      </c>
      <c r="L19" s="8">
        <v>8.125</v>
      </c>
      <c r="M19" s="8">
        <v>8.375</v>
      </c>
      <c r="N19" s="8">
        <v>5.25</v>
      </c>
      <c r="P19">
        <f t="shared" si="1"/>
        <v>0</v>
      </c>
      <c r="Q19">
        <f t="shared" si="2"/>
        <v>0</v>
      </c>
      <c r="R19">
        <f t="shared" si="3"/>
        <v>0</v>
      </c>
      <c r="S19">
        <f t="shared" si="4"/>
        <v>1</v>
      </c>
      <c r="T19">
        <f t="shared" si="5"/>
        <v>0</v>
      </c>
      <c r="U19">
        <f t="shared" si="6"/>
        <v>0</v>
      </c>
      <c r="V19">
        <f t="shared" si="7"/>
        <v>0</v>
      </c>
      <c r="W19">
        <f t="shared" si="8"/>
        <v>0</v>
      </c>
      <c r="X19">
        <f t="shared" si="9"/>
        <v>0</v>
      </c>
      <c r="Y19">
        <f t="shared" si="10"/>
        <v>0</v>
      </c>
      <c r="Z19">
        <f t="shared" si="11"/>
        <v>0</v>
      </c>
      <c r="AA19">
        <f t="shared" si="12"/>
        <v>0</v>
      </c>
    </row>
    <row r="20" spans="2:27" x14ac:dyDescent="0.25">
      <c r="B20" s="4" t="s">
        <v>98</v>
      </c>
      <c r="C20" s="8">
        <v>7.75</v>
      </c>
      <c r="D20" s="8">
        <v>8.375</v>
      </c>
      <c r="E20" s="8">
        <v>5.25</v>
      </c>
      <c r="F20" s="8">
        <v>5.125</v>
      </c>
      <c r="G20" s="8">
        <v>8.625</v>
      </c>
      <c r="H20" s="8">
        <v>5.25</v>
      </c>
      <c r="I20" s="8">
        <v>8.125</v>
      </c>
      <c r="J20" s="8">
        <v>6.375</v>
      </c>
      <c r="K20" s="8">
        <v>6.75</v>
      </c>
      <c r="L20" s="8">
        <v>6</v>
      </c>
      <c r="M20" s="9">
        <v>4.625</v>
      </c>
      <c r="N20" s="8">
        <v>5.75</v>
      </c>
      <c r="P20">
        <f t="shared" si="1"/>
        <v>0</v>
      </c>
      <c r="Q20">
        <f t="shared" si="2"/>
        <v>0</v>
      </c>
      <c r="R20">
        <f t="shared" si="3"/>
        <v>0</v>
      </c>
      <c r="S20">
        <f t="shared" si="4"/>
        <v>0</v>
      </c>
      <c r="T20">
        <f t="shared" si="5"/>
        <v>0</v>
      </c>
      <c r="U20">
        <f t="shared" si="6"/>
        <v>0</v>
      </c>
      <c r="V20">
        <f t="shared" si="7"/>
        <v>0</v>
      </c>
      <c r="W20">
        <f t="shared" si="8"/>
        <v>0</v>
      </c>
      <c r="X20">
        <f t="shared" si="9"/>
        <v>0</v>
      </c>
      <c r="Y20">
        <f t="shared" si="10"/>
        <v>0</v>
      </c>
      <c r="Z20">
        <f t="shared" si="11"/>
        <v>1</v>
      </c>
      <c r="AA20">
        <f t="shared" si="12"/>
        <v>0</v>
      </c>
    </row>
    <row r="21" spans="2:27" x14ac:dyDescent="0.25">
      <c r="B21" s="4" t="s">
        <v>100</v>
      </c>
      <c r="C21" s="9">
        <v>4.375</v>
      </c>
      <c r="D21" s="8">
        <v>7.125</v>
      </c>
      <c r="E21" s="8">
        <v>4.875</v>
      </c>
      <c r="F21" s="8">
        <v>7</v>
      </c>
      <c r="G21" s="8">
        <v>5.375</v>
      </c>
      <c r="H21" s="8">
        <v>7.625</v>
      </c>
      <c r="I21" s="8">
        <v>7</v>
      </c>
      <c r="J21" s="8">
        <v>8</v>
      </c>
      <c r="K21" s="8">
        <v>8.375</v>
      </c>
      <c r="L21" s="8">
        <v>6.25</v>
      </c>
      <c r="M21" s="8">
        <v>6.125</v>
      </c>
      <c r="N21" s="8">
        <v>5.875</v>
      </c>
      <c r="P21">
        <f t="shared" si="1"/>
        <v>1</v>
      </c>
      <c r="Q21">
        <f t="shared" si="2"/>
        <v>0</v>
      </c>
      <c r="R21">
        <f t="shared" si="3"/>
        <v>0</v>
      </c>
      <c r="S21">
        <f t="shared" si="4"/>
        <v>0</v>
      </c>
      <c r="T21">
        <f t="shared" si="5"/>
        <v>0</v>
      </c>
      <c r="U21">
        <f t="shared" si="6"/>
        <v>0</v>
      </c>
      <c r="V21">
        <f t="shared" si="7"/>
        <v>0</v>
      </c>
      <c r="W21">
        <f t="shared" si="8"/>
        <v>0</v>
      </c>
      <c r="X21">
        <f t="shared" si="9"/>
        <v>0</v>
      </c>
      <c r="Y21">
        <f t="shared" si="10"/>
        <v>0</v>
      </c>
      <c r="Z21">
        <f t="shared" si="11"/>
        <v>0</v>
      </c>
      <c r="AA21">
        <f t="shared" si="12"/>
        <v>0</v>
      </c>
    </row>
    <row r="22" spans="2:27" x14ac:dyDescent="0.25">
      <c r="B22" s="4" t="s">
        <v>102</v>
      </c>
      <c r="C22" s="8">
        <v>6.5</v>
      </c>
      <c r="D22" s="8">
        <v>6.625</v>
      </c>
      <c r="E22" s="8">
        <v>6</v>
      </c>
      <c r="F22" s="8">
        <v>6</v>
      </c>
      <c r="G22" s="9">
        <v>4.9375</v>
      </c>
      <c r="H22" s="8">
        <v>7.375</v>
      </c>
      <c r="I22" s="8">
        <v>5.6875</v>
      </c>
      <c r="J22" s="8">
        <v>6.6875</v>
      </c>
      <c r="K22" s="8">
        <v>8</v>
      </c>
      <c r="L22" s="8">
        <v>6.25</v>
      </c>
      <c r="M22" s="8">
        <v>7.5</v>
      </c>
      <c r="N22" s="8">
        <v>6.4375</v>
      </c>
      <c r="P22">
        <f t="shared" si="1"/>
        <v>0</v>
      </c>
      <c r="Q22">
        <f t="shared" si="2"/>
        <v>0</v>
      </c>
      <c r="R22">
        <f t="shared" si="3"/>
        <v>0</v>
      </c>
      <c r="S22">
        <f t="shared" si="4"/>
        <v>0</v>
      </c>
      <c r="T22">
        <f t="shared" si="5"/>
        <v>1</v>
      </c>
      <c r="U22">
        <f t="shared" si="6"/>
        <v>0</v>
      </c>
      <c r="V22">
        <f t="shared" si="7"/>
        <v>0</v>
      </c>
      <c r="W22">
        <f t="shared" si="8"/>
        <v>0</v>
      </c>
      <c r="X22">
        <f t="shared" si="9"/>
        <v>0</v>
      </c>
      <c r="Y22">
        <f t="shared" si="10"/>
        <v>0</v>
      </c>
      <c r="Z22">
        <f t="shared" si="11"/>
        <v>0</v>
      </c>
      <c r="AA22">
        <f t="shared" si="12"/>
        <v>0</v>
      </c>
    </row>
    <row r="23" spans="2:27" x14ac:dyDescent="0.25">
      <c r="B23" s="4" t="s">
        <v>104</v>
      </c>
      <c r="C23" s="8">
        <v>7.875</v>
      </c>
      <c r="D23" s="8">
        <v>5.75</v>
      </c>
      <c r="E23" s="8">
        <v>4.875</v>
      </c>
      <c r="F23" s="8">
        <v>5.375</v>
      </c>
      <c r="G23" s="8">
        <v>10.625</v>
      </c>
      <c r="H23" s="8">
        <v>4</v>
      </c>
      <c r="I23" s="8">
        <v>8.625</v>
      </c>
      <c r="J23" s="8">
        <v>9.375</v>
      </c>
      <c r="K23" s="8">
        <v>5.375</v>
      </c>
      <c r="L23" s="8">
        <v>6.25</v>
      </c>
      <c r="M23" s="8">
        <v>7</v>
      </c>
      <c r="N23" s="9">
        <v>2.875</v>
      </c>
      <c r="P23">
        <f t="shared" si="1"/>
        <v>0</v>
      </c>
      <c r="Q23">
        <f t="shared" si="2"/>
        <v>0</v>
      </c>
      <c r="R23">
        <f t="shared" si="3"/>
        <v>0</v>
      </c>
      <c r="S23">
        <f t="shared" si="4"/>
        <v>0</v>
      </c>
      <c r="T23">
        <f t="shared" si="5"/>
        <v>0</v>
      </c>
      <c r="U23">
        <f t="shared" si="6"/>
        <v>0</v>
      </c>
      <c r="V23">
        <f t="shared" si="7"/>
        <v>0</v>
      </c>
      <c r="W23">
        <f t="shared" si="8"/>
        <v>0</v>
      </c>
      <c r="X23">
        <f t="shared" si="9"/>
        <v>0</v>
      </c>
      <c r="Y23">
        <f t="shared" si="10"/>
        <v>0</v>
      </c>
      <c r="Z23">
        <f t="shared" si="11"/>
        <v>0</v>
      </c>
      <c r="AA23">
        <f t="shared" si="12"/>
        <v>1</v>
      </c>
    </row>
    <row r="24" spans="2:27" x14ac:dyDescent="0.25">
      <c r="B24" s="4" t="s">
        <v>106</v>
      </c>
      <c r="C24" s="8">
        <v>6.125</v>
      </c>
      <c r="D24" s="8">
        <v>6.75</v>
      </c>
      <c r="E24" s="8">
        <v>7.375</v>
      </c>
      <c r="F24" s="8">
        <v>4.875</v>
      </c>
      <c r="G24" s="8">
        <v>4.5</v>
      </c>
      <c r="H24" s="8">
        <v>6</v>
      </c>
      <c r="I24" s="8">
        <v>6.75</v>
      </c>
      <c r="J24" s="8">
        <v>8.5</v>
      </c>
      <c r="K24" s="8">
        <v>7.5</v>
      </c>
      <c r="L24" s="8">
        <v>8.875</v>
      </c>
      <c r="M24" s="8">
        <v>6.375</v>
      </c>
      <c r="N24" s="9">
        <v>4.375</v>
      </c>
      <c r="P24">
        <f t="shared" si="1"/>
        <v>0</v>
      </c>
      <c r="Q24">
        <f t="shared" si="2"/>
        <v>0</v>
      </c>
      <c r="R24">
        <f t="shared" si="3"/>
        <v>0</v>
      </c>
      <c r="S24">
        <f t="shared" si="4"/>
        <v>0</v>
      </c>
      <c r="T24">
        <f t="shared" si="5"/>
        <v>0</v>
      </c>
      <c r="U24">
        <f t="shared" si="6"/>
        <v>0</v>
      </c>
      <c r="V24">
        <f t="shared" si="7"/>
        <v>0</v>
      </c>
      <c r="W24">
        <f t="shared" si="8"/>
        <v>0</v>
      </c>
      <c r="X24">
        <f t="shared" si="9"/>
        <v>0</v>
      </c>
      <c r="Y24">
        <f t="shared" si="10"/>
        <v>0</v>
      </c>
      <c r="Z24">
        <f t="shared" si="11"/>
        <v>0</v>
      </c>
      <c r="AA24">
        <f t="shared" si="12"/>
        <v>1</v>
      </c>
    </row>
    <row r="25" spans="2:27" x14ac:dyDescent="0.25">
      <c r="B25" s="4" t="s">
        <v>108</v>
      </c>
      <c r="C25" s="8">
        <v>6.75</v>
      </c>
      <c r="D25" s="8">
        <v>5.9375</v>
      </c>
      <c r="E25" s="8">
        <v>7.625</v>
      </c>
      <c r="F25" s="9">
        <v>4.875</v>
      </c>
      <c r="G25" s="8">
        <v>10</v>
      </c>
      <c r="H25" s="8">
        <v>5.9375</v>
      </c>
      <c r="I25" s="8">
        <v>5.4375</v>
      </c>
      <c r="J25" s="8">
        <v>8.0625</v>
      </c>
      <c r="K25" s="8">
        <v>4.9375</v>
      </c>
      <c r="L25" s="8">
        <v>7.5625</v>
      </c>
      <c r="M25" s="8">
        <v>5.75</v>
      </c>
      <c r="N25" s="8">
        <v>5.125</v>
      </c>
      <c r="P25">
        <f t="shared" si="1"/>
        <v>0</v>
      </c>
      <c r="Q25">
        <f t="shared" si="2"/>
        <v>0</v>
      </c>
      <c r="R25">
        <f t="shared" si="3"/>
        <v>0</v>
      </c>
      <c r="S25">
        <f t="shared" si="4"/>
        <v>1</v>
      </c>
      <c r="T25">
        <f t="shared" si="5"/>
        <v>0</v>
      </c>
      <c r="U25">
        <f t="shared" si="6"/>
        <v>0</v>
      </c>
      <c r="V25">
        <f t="shared" si="7"/>
        <v>0</v>
      </c>
      <c r="W25">
        <f t="shared" si="8"/>
        <v>0</v>
      </c>
      <c r="X25">
        <f t="shared" si="9"/>
        <v>0</v>
      </c>
      <c r="Y25">
        <f t="shared" si="10"/>
        <v>0</v>
      </c>
      <c r="Z25">
        <f t="shared" si="11"/>
        <v>0</v>
      </c>
      <c r="AA25">
        <f t="shared" si="12"/>
        <v>0</v>
      </c>
    </row>
    <row r="26" spans="2:27" x14ac:dyDescent="0.25">
      <c r="B26" s="4" t="s">
        <v>110</v>
      </c>
      <c r="C26" s="8">
        <v>8.375</v>
      </c>
      <c r="D26" s="8">
        <v>8.375</v>
      </c>
      <c r="E26" s="8">
        <v>4.625</v>
      </c>
      <c r="F26" s="9">
        <v>3.625</v>
      </c>
      <c r="G26" s="8">
        <v>5.625</v>
      </c>
      <c r="H26" s="8">
        <v>4.5625</v>
      </c>
      <c r="I26" s="8">
        <v>7.375</v>
      </c>
      <c r="J26" s="8">
        <v>9.25</v>
      </c>
      <c r="K26" s="8">
        <v>5.0625</v>
      </c>
      <c r="L26" s="8">
        <v>10.375</v>
      </c>
      <c r="M26" s="8">
        <v>7.125</v>
      </c>
      <c r="N26" s="9">
        <v>3.625</v>
      </c>
      <c r="P26">
        <f t="shared" si="1"/>
        <v>0</v>
      </c>
      <c r="Q26">
        <f t="shared" si="2"/>
        <v>0</v>
      </c>
      <c r="R26">
        <f t="shared" si="3"/>
        <v>0</v>
      </c>
      <c r="S26">
        <f t="shared" si="4"/>
        <v>1</v>
      </c>
      <c r="T26">
        <f t="shared" si="5"/>
        <v>0</v>
      </c>
      <c r="U26">
        <f t="shared" si="6"/>
        <v>0</v>
      </c>
      <c r="V26">
        <f t="shared" si="7"/>
        <v>0</v>
      </c>
      <c r="W26">
        <f t="shared" si="8"/>
        <v>0</v>
      </c>
      <c r="X26">
        <f t="shared" si="9"/>
        <v>0</v>
      </c>
      <c r="Y26">
        <f t="shared" si="10"/>
        <v>0</v>
      </c>
      <c r="Z26">
        <f t="shared" si="11"/>
        <v>0</v>
      </c>
      <c r="AA26">
        <f t="shared" si="12"/>
        <v>1</v>
      </c>
    </row>
    <row r="27" spans="2:27" x14ac:dyDescent="0.25">
      <c r="B27" s="4" t="s">
        <v>112</v>
      </c>
      <c r="C27" s="8">
        <v>8.25</v>
      </c>
      <c r="D27" s="8">
        <v>7.875</v>
      </c>
      <c r="E27" s="8">
        <v>6.25</v>
      </c>
      <c r="F27" s="8">
        <v>6.375</v>
      </c>
      <c r="G27" s="8">
        <v>7.125</v>
      </c>
      <c r="H27" s="8">
        <v>5.625</v>
      </c>
      <c r="I27" s="8">
        <v>5.5</v>
      </c>
      <c r="J27" s="8">
        <v>9.625</v>
      </c>
      <c r="K27" s="8">
        <v>5</v>
      </c>
      <c r="L27" s="9">
        <v>3.5</v>
      </c>
      <c r="M27" s="8">
        <v>6.5</v>
      </c>
      <c r="N27" s="8">
        <v>6.375</v>
      </c>
      <c r="P27">
        <f t="shared" si="1"/>
        <v>0</v>
      </c>
      <c r="Q27">
        <f t="shared" si="2"/>
        <v>0</v>
      </c>
      <c r="R27">
        <f t="shared" si="3"/>
        <v>0</v>
      </c>
      <c r="S27">
        <f t="shared" si="4"/>
        <v>0</v>
      </c>
      <c r="T27">
        <f t="shared" si="5"/>
        <v>0</v>
      </c>
      <c r="U27">
        <f t="shared" si="6"/>
        <v>0</v>
      </c>
      <c r="V27">
        <f t="shared" si="7"/>
        <v>0</v>
      </c>
      <c r="W27">
        <f t="shared" si="8"/>
        <v>0</v>
      </c>
      <c r="X27">
        <f t="shared" si="9"/>
        <v>0</v>
      </c>
      <c r="Y27">
        <f t="shared" si="10"/>
        <v>1</v>
      </c>
      <c r="Z27">
        <f t="shared" si="11"/>
        <v>0</v>
      </c>
      <c r="AA27">
        <f t="shared" si="12"/>
        <v>0</v>
      </c>
    </row>
    <row r="28" spans="2:27" x14ac:dyDescent="0.25">
      <c r="B28" s="4" t="s">
        <v>114</v>
      </c>
      <c r="C28" s="8">
        <v>7</v>
      </c>
      <c r="D28" s="8">
        <v>7</v>
      </c>
      <c r="E28" s="8">
        <v>7.125</v>
      </c>
      <c r="F28" s="8">
        <v>5.875</v>
      </c>
      <c r="G28" s="8">
        <v>8.25</v>
      </c>
      <c r="H28" s="9">
        <v>4.5</v>
      </c>
      <c r="I28" s="8">
        <v>6.5</v>
      </c>
      <c r="J28" s="8">
        <v>8.25</v>
      </c>
      <c r="K28" s="8">
        <v>5.25</v>
      </c>
      <c r="L28" s="8">
        <v>4.75</v>
      </c>
      <c r="M28" s="8">
        <v>8.25</v>
      </c>
      <c r="N28" s="8">
        <v>5.25</v>
      </c>
      <c r="P28">
        <f t="shared" si="1"/>
        <v>0</v>
      </c>
      <c r="Q28">
        <f t="shared" si="2"/>
        <v>0</v>
      </c>
      <c r="R28">
        <f t="shared" si="3"/>
        <v>0</v>
      </c>
      <c r="S28">
        <f t="shared" si="4"/>
        <v>0</v>
      </c>
      <c r="T28">
        <f t="shared" si="5"/>
        <v>0</v>
      </c>
      <c r="U28">
        <f t="shared" si="6"/>
        <v>1</v>
      </c>
      <c r="V28">
        <f t="shared" si="7"/>
        <v>0</v>
      </c>
      <c r="W28">
        <f t="shared" si="8"/>
        <v>0</v>
      </c>
      <c r="X28">
        <f t="shared" si="9"/>
        <v>0</v>
      </c>
      <c r="Y28">
        <f t="shared" si="10"/>
        <v>0</v>
      </c>
      <c r="Z28">
        <f t="shared" si="11"/>
        <v>0</v>
      </c>
      <c r="AA28">
        <f t="shared" si="12"/>
        <v>0</v>
      </c>
    </row>
    <row r="29" spans="2:27" x14ac:dyDescent="0.25">
      <c r="B29" s="4" t="s">
        <v>116</v>
      </c>
      <c r="C29" s="8">
        <v>4.625</v>
      </c>
      <c r="D29" s="8">
        <v>4</v>
      </c>
      <c r="E29" s="9">
        <v>3.5</v>
      </c>
      <c r="F29" s="8">
        <v>7.375</v>
      </c>
      <c r="G29" s="8">
        <v>9.25</v>
      </c>
      <c r="H29" s="8">
        <v>6.25</v>
      </c>
      <c r="I29" s="8">
        <v>5</v>
      </c>
      <c r="J29" s="8">
        <v>7.5</v>
      </c>
      <c r="K29" s="8">
        <v>8.5</v>
      </c>
      <c r="L29" s="8">
        <v>9.625</v>
      </c>
      <c r="M29" s="8">
        <v>7.625</v>
      </c>
      <c r="N29" s="8">
        <v>4.75</v>
      </c>
      <c r="P29">
        <f t="shared" si="1"/>
        <v>0</v>
      </c>
      <c r="Q29">
        <f t="shared" si="2"/>
        <v>0</v>
      </c>
      <c r="R29">
        <f t="shared" si="3"/>
        <v>1</v>
      </c>
      <c r="S29">
        <f t="shared" si="4"/>
        <v>0</v>
      </c>
      <c r="T29">
        <f t="shared" si="5"/>
        <v>0</v>
      </c>
      <c r="U29">
        <f t="shared" si="6"/>
        <v>0</v>
      </c>
      <c r="V29">
        <f t="shared" si="7"/>
        <v>0</v>
      </c>
      <c r="W29">
        <f t="shared" si="8"/>
        <v>0</v>
      </c>
      <c r="X29">
        <f t="shared" si="9"/>
        <v>0</v>
      </c>
      <c r="Y29">
        <f t="shared" si="10"/>
        <v>0</v>
      </c>
      <c r="Z29">
        <f t="shared" si="11"/>
        <v>0</v>
      </c>
      <c r="AA29">
        <f t="shared" si="12"/>
        <v>0</v>
      </c>
    </row>
    <row r="30" spans="2:27" x14ac:dyDescent="0.25">
      <c r="B30" s="4" t="s">
        <v>118</v>
      </c>
      <c r="C30" s="8">
        <v>9</v>
      </c>
      <c r="D30" s="8">
        <v>7.625</v>
      </c>
      <c r="E30" s="8">
        <v>7</v>
      </c>
      <c r="F30" s="8">
        <v>5.9375</v>
      </c>
      <c r="G30" s="8">
        <v>9.8125</v>
      </c>
      <c r="H30" s="8">
        <v>4.875</v>
      </c>
      <c r="I30" s="8">
        <v>6.625</v>
      </c>
      <c r="J30" s="8">
        <v>6.125</v>
      </c>
      <c r="K30" s="8">
        <v>7.75</v>
      </c>
      <c r="L30" s="9">
        <v>3.125</v>
      </c>
      <c r="M30" s="8">
        <v>4.125</v>
      </c>
      <c r="N30" s="8">
        <v>6</v>
      </c>
      <c r="P30">
        <f t="shared" si="1"/>
        <v>0</v>
      </c>
      <c r="Q30">
        <f t="shared" si="2"/>
        <v>0</v>
      </c>
      <c r="R30">
        <f t="shared" si="3"/>
        <v>0</v>
      </c>
      <c r="S30">
        <f t="shared" si="4"/>
        <v>0</v>
      </c>
      <c r="T30">
        <f t="shared" si="5"/>
        <v>0</v>
      </c>
      <c r="U30">
        <f t="shared" si="6"/>
        <v>0</v>
      </c>
      <c r="V30">
        <f t="shared" si="7"/>
        <v>0</v>
      </c>
      <c r="W30">
        <f t="shared" si="8"/>
        <v>0</v>
      </c>
      <c r="X30">
        <f t="shared" si="9"/>
        <v>0</v>
      </c>
      <c r="Y30">
        <f t="shared" si="10"/>
        <v>1</v>
      </c>
      <c r="Z30">
        <f t="shared" si="11"/>
        <v>0</v>
      </c>
      <c r="AA30">
        <f t="shared" si="12"/>
        <v>0</v>
      </c>
    </row>
    <row r="31" spans="2:27" x14ac:dyDescent="0.25">
      <c r="B31" s="4" t="s">
        <v>120</v>
      </c>
      <c r="C31" s="8">
        <v>5.8125</v>
      </c>
      <c r="D31" s="8">
        <v>7.1875</v>
      </c>
      <c r="E31" s="8">
        <v>8</v>
      </c>
      <c r="F31" s="8">
        <v>5.8125</v>
      </c>
      <c r="G31" s="8">
        <v>8.6875</v>
      </c>
      <c r="H31" s="8">
        <v>7.375</v>
      </c>
      <c r="I31" s="8">
        <v>6.4375</v>
      </c>
      <c r="J31" s="8">
        <v>6.4375</v>
      </c>
      <c r="K31" s="8">
        <v>5.4375</v>
      </c>
      <c r="L31" s="8">
        <v>7.375</v>
      </c>
      <c r="M31" s="8">
        <v>5.5625</v>
      </c>
      <c r="N31" s="9">
        <v>3.875</v>
      </c>
      <c r="P31">
        <f t="shared" si="1"/>
        <v>0</v>
      </c>
      <c r="Q31">
        <f t="shared" si="2"/>
        <v>0</v>
      </c>
      <c r="R31">
        <f t="shared" si="3"/>
        <v>0</v>
      </c>
      <c r="S31">
        <f t="shared" si="4"/>
        <v>0</v>
      </c>
      <c r="T31">
        <f t="shared" si="5"/>
        <v>0</v>
      </c>
      <c r="U31">
        <f t="shared" si="6"/>
        <v>0</v>
      </c>
      <c r="V31">
        <f t="shared" si="7"/>
        <v>0</v>
      </c>
      <c r="W31">
        <f t="shared" si="8"/>
        <v>0</v>
      </c>
      <c r="X31">
        <f t="shared" si="9"/>
        <v>0</v>
      </c>
      <c r="Y31">
        <f t="shared" si="10"/>
        <v>0</v>
      </c>
      <c r="Z31">
        <f t="shared" si="11"/>
        <v>0</v>
      </c>
      <c r="AA31">
        <f t="shared" si="12"/>
        <v>1</v>
      </c>
    </row>
    <row r="32" spans="2:27" x14ac:dyDescent="0.25">
      <c r="B32" s="4" t="s">
        <v>122</v>
      </c>
      <c r="C32" s="9">
        <v>6.125</v>
      </c>
      <c r="D32" s="8">
        <v>7.0625</v>
      </c>
      <c r="E32" s="8">
        <v>6.75</v>
      </c>
      <c r="F32" s="9">
        <v>6.125</v>
      </c>
      <c r="G32" s="9">
        <v>6.125</v>
      </c>
      <c r="H32" s="8">
        <v>8.4375</v>
      </c>
      <c r="I32" s="9">
        <v>6.125</v>
      </c>
      <c r="J32" s="9">
        <v>6.125</v>
      </c>
      <c r="K32" s="9">
        <v>6.125</v>
      </c>
      <c r="L32" s="9">
        <v>6.125</v>
      </c>
      <c r="M32" s="8">
        <v>6.75</v>
      </c>
      <c r="N32" s="9">
        <v>6.125</v>
      </c>
      <c r="P32">
        <f t="shared" si="1"/>
        <v>1</v>
      </c>
      <c r="Q32">
        <f t="shared" si="2"/>
        <v>0</v>
      </c>
      <c r="R32">
        <f t="shared" si="3"/>
        <v>0</v>
      </c>
      <c r="S32">
        <f t="shared" si="4"/>
        <v>1</v>
      </c>
      <c r="T32">
        <f t="shared" si="5"/>
        <v>1</v>
      </c>
      <c r="U32">
        <f t="shared" si="6"/>
        <v>0</v>
      </c>
      <c r="V32">
        <f t="shared" si="7"/>
        <v>1</v>
      </c>
      <c r="W32">
        <f t="shared" si="8"/>
        <v>1</v>
      </c>
      <c r="X32">
        <f t="shared" si="9"/>
        <v>1</v>
      </c>
      <c r="Y32">
        <f t="shared" si="10"/>
        <v>1</v>
      </c>
      <c r="Z32">
        <f t="shared" si="11"/>
        <v>0</v>
      </c>
      <c r="AA32">
        <f t="shared" si="12"/>
        <v>1</v>
      </c>
    </row>
    <row r="33" spans="2:27" x14ac:dyDescent="0.25">
      <c r="B33" s="4" t="s">
        <v>124</v>
      </c>
      <c r="C33" s="8">
        <v>7.875</v>
      </c>
      <c r="D33" s="8">
        <v>8.75</v>
      </c>
      <c r="E33" s="9">
        <v>4.25</v>
      </c>
      <c r="F33" s="8">
        <v>4.8125</v>
      </c>
      <c r="G33" s="8">
        <v>8.6875</v>
      </c>
      <c r="H33" s="8">
        <v>5.875</v>
      </c>
      <c r="I33" s="8">
        <v>7</v>
      </c>
      <c r="J33" s="8">
        <v>6.625</v>
      </c>
      <c r="K33" s="8">
        <v>4.375</v>
      </c>
      <c r="L33" s="8">
        <v>5.125</v>
      </c>
      <c r="M33" s="8">
        <v>8.625</v>
      </c>
      <c r="N33" s="8">
        <v>6</v>
      </c>
      <c r="P33">
        <f t="shared" si="1"/>
        <v>0</v>
      </c>
      <c r="Q33">
        <f t="shared" si="2"/>
        <v>0</v>
      </c>
      <c r="R33">
        <f t="shared" si="3"/>
        <v>1</v>
      </c>
      <c r="S33">
        <f t="shared" si="4"/>
        <v>0</v>
      </c>
      <c r="T33">
        <f t="shared" si="5"/>
        <v>0</v>
      </c>
      <c r="U33">
        <f t="shared" si="6"/>
        <v>0</v>
      </c>
      <c r="V33">
        <f t="shared" si="7"/>
        <v>0</v>
      </c>
      <c r="W33">
        <f t="shared" si="8"/>
        <v>0</v>
      </c>
      <c r="X33">
        <f t="shared" si="9"/>
        <v>0</v>
      </c>
      <c r="Y33">
        <f t="shared" si="10"/>
        <v>0</v>
      </c>
      <c r="Z33">
        <f t="shared" si="11"/>
        <v>0</v>
      </c>
      <c r="AA33">
        <f t="shared" si="12"/>
        <v>0</v>
      </c>
    </row>
    <row r="34" spans="2:27" x14ac:dyDescent="0.25">
      <c r="B34" s="4" t="s">
        <v>126</v>
      </c>
      <c r="C34" s="8">
        <v>8.5</v>
      </c>
      <c r="D34" s="8">
        <v>7.25</v>
      </c>
      <c r="E34" s="8">
        <v>5</v>
      </c>
      <c r="F34" s="8">
        <v>6.375</v>
      </c>
      <c r="G34" s="8">
        <v>9.75</v>
      </c>
      <c r="H34" s="8">
        <v>5.875</v>
      </c>
      <c r="I34" s="8">
        <v>8.625</v>
      </c>
      <c r="J34" s="8">
        <v>5.875</v>
      </c>
      <c r="K34" s="8">
        <v>5.375</v>
      </c>
      <c r="L34" s="9">
        <v>4.625</v>
      </c>
      <c r="M34" s="8">
        <v>6.125</v>
      </c>
      <c r="N34" s="9">
        <v>4.625</v>
      </c>
      <c r="P34">
        <f t="shared" si="1"/>
        <v>0</v>
      </c>
      <c r="Q34">
        <f t="shared" si="2"/>
        <v>0</v>
      </c>
      <c r="R34">
        <f t="shared" si="3"/>
        <v>0</v>
      </c>
      <c r="S34">
        <f t="shared" si="4"/>
        <v>0</v>
      </c>
      <c r="T34">
        <f t="shared" si="5"/>
        <v>0</v>
      </c>
      <c r="U34">
        <f t="shared" si="6"/>
        <v>0</v>
      </c>
      <c r="V34">
        <f t="shared" si="7"/>
        <v>0</v>
      </c>
      <c r="W34">
        <f t="shared" si="8"/>
        <v>0</v>
      </c>
      <c r="X34">
        <f t="shared" si="9"/>
        <v>0</v>
      </c>
      <c r="Y34">
        <f t="shared" si="10"/>
        <v>1</v>
      </c>
      <c r="Z34">
        <f t="shared" si="11"/>
        <v>0</v>
      </c>
      <c r="AA34">
        <f t="shared" si="12"/>
        <v>1</v>
      </c>
    </row>
    <row r="35" spans="2:27" x14ac:dyDescent="0.25">
      <c r="B35" s="4" t="s">
        <v>128</v>
      </c>
      <c r="C35" s="8">
        <v>6.125</v>
      </c>
      <c r="D35" s="8">
        <v>6.375</v>
      </c>
      <c r="E35" s="8">
        <v>6.4375</v>
      </c>
      <c r="F35" s="8">
        <v>5.75</v>
      </c>
      <c r="G35" s="9">
        <v>5.1875</v>
      </c>
      <c r="H35" s="8">
        <v>5.625</v>
      </c>
      <c r="I35" s="8">
        <v>6.4375</v>
      </c>
      <c r="J35" s="8">
        <v>8.375</v>
      </c>
      <c r="K35" s="8">
        <v>9.3125</v>
      </c>
      <c r="L35" s="8">
        <v>6.25</v>
      </c>
      <c r="M35" s="8">
        <v>6.8125</v>
      </c>
      <c r="N35" s="8">
        <v>5.3125</v>
      </c>
      <c r="P35">
        <f t="shared" si="1"/>
        <v>0</v>
      </c>
      <c r="Q35">
        <f t="shared" si="2"/>
        <v>0</v>
      </c>
      <c r="R35">
        <f t="shared" si="3"/>
        <v>0</v>
      </c>
      <c r="S35">
        <f t="shared" si="4"/>
        <v>0</v>
      </c>
      <c r="T35">
        <f t="shared" si="5"/>
        <v>1</v>
      </c>
      <c r="U35">
        <f t="shared" si="6"/>
        <v>0</v>
      </c>
      <c r="V35">
        <f t="shared" si="7"/>
        <v>0</v>
      </c>
      <c r="W35">
        <f t="shared" si="8"/>
        <v>0</v>
      </c>
      <c r="X35">
        <f t="shared" si="9"/>
        <v>0</v>
      </c>
      <c r="Y35">
        <f t="shared" si="10"/>
        <v>0</v>
      </c>
      <c r="Z35">
        <f t="shared" si="11"/>
        <v>0</v>
      </c>
      <c r="AA35">
        <f t="shared" si="12"/>
        <v>0</v>
      </c>
    </row>
    <row r="36" spans="2:27" x14ac:dyDescent="0.25">
      <c r="B36" s="4" t="s">
        <v>130</v>
      </c>
      <c r="C36" s="8">
        <v>7.5</v>
      </c>
      <c r="D36" s="8">
        <v>7</v>
      </c>
      <c r="E36" s="8">
        <v>7.75</v>
      </c>
      <c r="F36" s="8">
        <v>6</v>
      </c>
      <c r="G36" s="8">
        <v>8.125</v>
      </c>
      <c r="H36" s="8">
        <v>6.875</v>
      </c>
      <c r="I36" s="8">
        <v>6.625</v>
      </c>
      <c r="J36" s="8">
        <v>6.125</v>
      </c>
      <c r="K36" s="8">
        <v>5.125</v>
      </c>
      <c r="L36" s="8">
        <v>6.375</v>
      </c>
      <c r="M36" s="8">
        <v>6.5</v>
      </c>
      <c r="N36" s="9">
        <v>4</v>
      </c>
      <c r="P36">
        <f t="shared" si="1"/>
        <v>0</v>
      </c>
      <c r="Q36">
        <f t="shared" si="2"/>
        <v>0</v>
      </c>
      <c r="R36">
        <f t="shared" si="3"/>
        <v>0</v>
      </c>
      <c r="S36">
        <f t="shared" si="4"/>
        <v>0</v>
      </c>
      <c r="T36">
        <f t="shared" si="5"/>
        <v>0</v>
      </c>
      <c r="U36">
        <f t="shared" si="6"/>
        <v>0</v>
      </c>
      <c r="V36">
        <f t="shared" si="7"/>
        <v>0</v>
      </c>
      <c r="W36">
        <f t="shared" si="8"/>
        <v>0</v>
      </c>
      <c r="X36">
        <f t="shared" si="9"/>
        <v>0</v>
      </c>
      <c r="Y36">
        <f t="shared" si="10"/>
        <v>0</v>
      </c>
      <c r="Z36">
        <f t="shared" si="11"/>
        <v>0</v>
      </c>
      <c r="AA36">
        <f t="shared" si="12"/>
        <v>1</v>
      </c>
    </row>
    <row r="37" spans="2:27" x14ac:dyDescent="0.25">
      <c r="B37" s="4" t="s">
        <v>132</v>
      </c>
      <c r="C37" s="8">
        <v>5.125</v>
      </c>
      <c r="D37" s="8">
        <v>4.875</v>
      </c>
      <c r="E37" s="8">
        <v>6.25</v>
      </c>
      <c r="F37" s="9">
        <v>4.5</v>
      </c>
      <c r="G37" s="8">
        <v>9</v>
      </c>
      <c r="H37" s="8">
        <v>6</v>
      </c>
      <c r="I37" s="8">
        <v>9</v>
      </c>
      <c r="J37" s="8">
        <v>7.625</v>
      </c>
      <c r="K37" s="8">
        <v>6.625</v>
      </c>
      <c r="L37" s="8">
        <v>7.25</v>
      </c>
      <c r="M37" s="8">
        <v>5.5</v>
      </c>
      <c r="N37" s="8">
        <v>6.25</v>
      </c>
      <c r="P37">
        <f t="shared" si="1"/>
        <v>0</v>
      </c>
      <c r="Q37">
        <f t="shared" si="2"/>
        <v>0</v>
      </c>
      <c r="R37">
        <f t="shared" si="3"/>
        <v>0</v>
      </c>
      <c r="S37">
        <f t="shared" si="4"/>
        <v>1</v>
      </c>
      <c r="T37">
        <f t="shared" si="5"/>
        <v>0</v>
      </c>
      <c r="U37">
        <f t="shared" si="6"/>
        <v>0</v>
      </c>
      <c r="V37">
        <f t="shared" si="7"/>
        <v>0</v>
      </c>
      <c r="W37">
        <f t="shared" si="8"/>
        <v>0</v>
      </c>
      <c r="X37">
        <f t="shared" si="9"/>
        <v>0</v>
      </c>
      <c r="Y37">
        <f t="shared" si="10"/>
        <v>0</v>
      </c>
      <c r="Z37">
        <f t="shared" si="11"/>
        <v>0</v>
      </c>
      <c r="AA37">
        <f t="shared" si="12"/>
        <v>0</v>
      </c>
    </row>
    <row r="38" spans="2:27" x14ac:dyDescent="0.25">
      <c r="B38" s="4" t="s">
        <v>134</v>
      </c>
      <c r="C38" s="8">
        <v>8.6875</v>
      </c>
      <c r="D38" s="8">
        <v>6.875</v>
      </c>
      <c r="E38" s="8">
        <v>5</v>
      </c>
      <c r="F38" s="8">
        <v>7.125</v>
      </c>
      <c r="G38" s="8">
        <v>5.25</v>
      </c>
      <c r="H38" s="8">
        <v>6.875</v>
      </c>
      <c r="I38" s="9">
        <v>3.125</v>
      </c>
      <c r="J38" s="8">
        <v>8.6875</v>
      </c>
      <c r="K38" s="8">
        <v>6.125</v>
      </c>
      <c r="L38" s="8">
        <v>7.25</v>
      </c>
      <c r="M38" s="8">
        <v>6.625</v>
      </c>
      <c r="N38" s="8">
        <v>6.375</v>
      </c>
      <c r="P38">
        <f t="shared" si="1"/>
        <v>0</v>
      </c>
      <c r="Q38">
        <f t="shared" si="2"/>
        <v>0</v>
      </c>
      <c r="R38">
        <f t="shared" si="3"/>
        <v>0</v>
      </c>
      <c r="S38">
        <f t="shared" si="4"/>
        <v>0</v>
      </c>
      <c r="T38">
        <f t="shared" si="5"/>
        <v>0</v>
      </c>
      <c r="U38">
        <f t="shared" si="6"/>
        <v>0</v>
      </c>
      <c r="V38">
        <f t="shared" si="7"/>
        <v>1</v>
      </c>
      <c r="W38">
        <f t="shared" si="8"/>
        <v>0</v>
      </c>
      <c r="X38">
        <f t="shared" si="9"/>
        <v>0</v>
      </c>
      <c r="Y38">
        <f t="shared" si="10"/>
        <v>0</v>
      </c>
      <c r="Z38">
        <f t="shared" si="11"/>
        <v>0</v>
      </c>
      <c r="AA38">
        <f t="shared" si="12"/>
        <v>0</v>
      </c>
    </row>
    <row r="39" spans="2:27" x14ac:dyDescent="0.25">
      <c r="B39" s="4" t="s">
        <v>136</v>
      </c>
      <c r="C39" s="8">
        <v>7.625</v>
      </c>
      <c r="D39" s="8">
        <v>6.625</v>
      </c>
      <c r="E39" s="8">
        <v>7.3125</v>
      </c>
      <c r="F39" s="8">
        <v>6.625</v>
      </c>
      <c r="G39" s="8">
        <v>6.3125</v>
      </c>
      <c r="H39" s="9">
        <v>3.875</v>
      </c>
      <c r="I39" s="8">
        <v>7.375</v>
      </c>
      <c r="J39" s="8">
        <v>5.3125</v>
      </c>
      <c r="K39" s="8">
        <v>5.125</v>
      </c>
      <c r="L39" s="8">
        <v>8</v>
      </c>
      <c r="M39" s="8">
        <v>8.3125</v>
      </c>
      <c r="N39" s="8">
        <v>5.5</v>
      </c>
      <c r="P39">
        <f t="shared" si="1"/>
        <v>0</v>
      </c>
      <c r="Q39">
        <f t="shared" si="2"/>
        <v>0</v>
      </c>
      <c r="R39">
        <f t="shared" si="3"/>
        <v>0</v>
      </c>
      <c r="S39">
        <f t="shared" si="4"/>
        <v>0</v>
      </c>
      <c r="T39">
        <f t="shared" si="5"/>
        <v>0</v>
      </c>
      <c r="U39">
        <f t="shared" si="6"/>
        <v>1</v>
      </c>
      <c r="V39">
        <f t="shared" si="7"/>
        <v>0</v>
      </c>
      <c r="W39">
        <f t="shared" si="8"/>
        <v>0</v>
      </c>
      <c r="X39">
        <f t="shared" si="9"/>
        <v>0</v>
      </c>
      <c r="Y39">
        <f t="shared" si="10"/>
        <v>0</v>
      </c>
      <c r="Z39">
        <f t="shared" si="11"/>
        <v>0</v>
      </c>
      <c r="AA39">
        <f t="shared" si="12"/>
        <v>0</v>
      </c>
    </row>
    <row r="40" spans="2:27" x14ac:dyDescent="0.25">
      <c r="B40" s="4" t="s">
        <v>138</v>
      </c>
      <c r="C40" s="8">
        <v>8.875</v>
      </c>
      <c r="D40" s="8">
        <v>6.375</v>
      </c>
      <c r="E40" s="8">
        <v>5.625</v>
      </c>
      <c r="F40" s="8">
        <v>8</v>
      </c>
      <c r="G40" s="8">
        <v>6.125</v>
      </c>
      <c r="H40" s="8">
        <v>5.625</v>
      </c>
      <c r="I40" s="8">
        <v>8</v>
      </c>
      <c r="J40" s="8">
        <v>5.375</v>
      </c>
      <c r="K40" s="8">
        <v>6.125</v>
      </c>
      <c r="L40" s="9">
        <v>5.125</v>
      </c>
      <c r="M40" s="8">
        <v>7.25</v>
      </c>
      <c r="N40" s="8">
        <v>5.5</v>
      </c>
      <c r="P40">
        <f t="shared" si="1"/>
        <v>0</v>
      </c>
      <c r="Q40">
        <f t="shared" si="2"/>
        <v>0</v>
      </c>
      <c r="R40">
        <f t="shared" si="3"/>
        <v>0</v>
      </c>
      <c r="S40">
        <f t="shared" si="4"/>
        <v>0</v>
      </c>
      <c r="T40">
        <f t="shared" si="5"/>
        <v>0</v>
      </c>
      <c r="U40">
        <f t="shared" si="6"/>
        <v>0</v>
      </c>
      <c r="V40">
        <f t="shared" si="7"/>
        <v>0</v>
      </c>
      <c r="W40">
        <f t="shared" si="8"/>
        <v>0</v>
      </c>
      <c r="X40">
        <f t="shared" si="9"/>
        <v>0</v>
      </c>
      <c r="Y40">
        <f t="shared" si="10"/>
        <v>1</v>
      </c>
      <c r="Z40">
        <f t="shared" si="11"/>
        <v>0</v>
      </c>
      <c r="AA40">
        <f t="shared" si="12"/>
        <v>0</v>
      </c>
    </row>
    <row r="41" spans="2:27" x14ac:dyDescent="0.25">
      <c r="B41" s="4" t="s">
        <v>140</v>
      </c>
      <c r="C41" s="8">
        <v>7.8125</v>
      </c>
      <c r="D41" s="8">
        <v>7</v>
      </c>
      <c r="E41" s="9">
        <v>3.625</v>
      </c>
      <c r="F41" s="8">
        <v>5.25</v>
      </c>
      <c r="G41" s="8">
        <v>8.75</v>
      </c>
      <c r="H41" s="8">
        <v>7.125</v>
      </c>
      <c r="I41" s="8">
        <v>4.75</v>
      </c>
      <c r="J41" s="8">
        <v>6.25</v>
      </c>
      <c r="K41" s="8">
        <v>8.875</v>
      </c>
      <c r="L41" s="8">
        <v>8.4375</v>
      </c>
      <c r="M41" s="8">
        <v>6</v>
      </c>
      <c r="N41" s="8">
        <v>4.125</v>
      </c>
      <c r="P41">
        <f t="shared" si="1"/>
        <v>0</v>
      </c>
      <c r="Q41">
        <f t="shared" si="2"/>
        <v>0</v>
      </c>
      <c r="R41">
        <f t="shared" si="3"/>
        <v>1</v>
      </c>
      <c r="S41">
        <f t="shared" si="4"/>
        <v>0</v>
      </c>
      <c r="T41">
        <f t="shared" si="5"/>
        <v>0</v>
      </c>
      <c r="U41">
        <f t="shared" si="6"/>
        <v>0</v>
      </c>
      <c r="V41">
        <f t="shared" si="7"/>
        <v>0</v>
      </c>
      <c r="W41">
        <f t="shared" si="8"/>
        <v>0</v>
      </c>
      <c r="X41">
        <f t="shared" si="9"/>
        <v>0</v>
      </c>
      <c r="Y41">
        <f t="shared" si="10"/>
        <v>0</v>
      </c>
      <c r="Z41">
        <f t="shared" si="11"/>
        <v>0</v>
      </c>
      <c r="AA41">
        <f t="shared" si="12"/>
        <v>0</v>
      </c>
    </row>
    <row r="42" spans="2:27" x14ac:dyDescent="0.25">
      <c r="B42" s="4" t="s">
        <v>142</v>
      </c>
      <c r="C42" s="8">
        <v>6.125</v>
      </c>
      <c r="D42" s="8">
        <v>7.375</v>
      </c>
      <c r="E42" s="8">
        <v>6</v>
      </c>
      <c r="F42" s="9">
        <v>5.0625</v>
      </c>
      <c r="G42" s="8">
        <v>6.3125</v>
      </c>
      <c r="H42" s="8">
        <v>6.125</v>
      </c>
      <c r="I42" s="8">
        <v>7.25</v>
      </c>
      <c r="J42" s="8">
        <v>6.875</v>
      </c>
      <c r="K42" s="8">
        <v>8.875</v>
      </c>
      <c r="L42" s="8">
        <v>5.875</v>
      </c>
      <c r="M42" s="8">
        <v>6.375</v>
      </c>
      <c r="N42" s="8">
        <v>5.75</v>
      </c>
      <c r="P42">
        <f t="shared" si="1"/>
        <v>0</v>
      </c>
      <c r="Q42">
        <f t="shared" si="2"/>
        <v>0</v>
      </c>
      <c r="R42">
        <f t="shared" si="3"/>
        <v>0</v>
      </c>
      <c r="S42">
        <f t="shared" si="4"/>
        <v>1</v>
      </c>
      <c r="T42">
        <f t="shared" si="5"/>
        <v>0</v>
      </c>
      <c r="U42">
        <f t="shared" si="6"/>
        <v>0</v>
      </c>
      <c r="V42">
        <f t="shared" si="7"/>
        <v>0</v>
      </c>
      <c r="W42">
        <f t="shared" si="8"/>
        <v>0</v>
      </c>
      <c r="X42">
        <f t="shared" si="9"/>
        <v>0</v>
      </c>
      <c r="Y42">
        <f t="shared" si="10"/>
        <v>0</v>
      </c>
      <c r="Z42">
        <f t="shared" si="11"/>
        <v>0</v>
      </c>
      <c r="AA42">
        <f t="shared" si="12"/>
        <v>0</v>
      </c>
    </row>
    <row r="43" spans="2:27" x14ac:dyDescent="0.25">
      <c r="B43" s="4" t="s">
        <v>144</v>
      </c>
      <c r="C43" s="8">
        <v>8.125</v>
      </c>
      <c r="D43" s="8">
        <v>6.625</v>
      </c>
      <c r="E43" s="8">
        <v>7.5</v>
      </c>
      <c r="F43" s="8">
        <v>4</v>
      </c>
      <c r="G43" s="9">
        <v>3.875</v>
      </c>
      <c r="H43" s="8">
        <v>5.875</v>
      </c>
      <c r="I43" s="8">
        <v>9.125</v>
      </c>
      <c r="J43" s="8">
        <v>7.125</v>
      </c>
      <c r="K43" s="8">
        <v>7.75</v>
      </c>
      <c r="L43" s="8">
        <v>4.5</v>
      </c>
      <c r="M43" s="8">
        <v>8.25</v>
      </c>
      <c r="N43" s="8">
        <v>5.25</v>
      </c>
      <c r="P43">
        <f t="shared" si="1"/>
        <v>0</v>
      </c>
      <c r="Q43">
        <f t="shared" si="2"/>
        <v>0</v>
      </c>
      <c r="R43">
        <f t="shared" si="3"/>
        <v>0</v>
      </c>
      <c r="S43">
        <f t="shared" si="4"/>
        <v>0</v>
      </c>
      <c r="T43">
        <f t="shared" si="5"/>
        <v>1</v>
      </c>
      <c r="U43">
        <f t="shared" si="6"/>
        <v>0</v>
      </c>
      <c r="V43">
        <f t="shared" si="7"/>
        <v>0</v>
      </c>
      <c r="W43">
        <f t="shared" si="8"/>
        <v>0</v>
      </c>
      <c r="X43">
        <f t="shared" si="9"/>
        <v>0</v>
      </c>
      <c r="Y43">
        <f t="shared" si="10"/>
        <v>0</v>
      </c>
      <c r="Z43">
        <f t="shared" si="11"/>
        <v>0</v>
      </c>
      <c r="AA43">
        <f t="shared" si="12"/>
        <v>0</v>
      </c>
    </row>
    <row r="44" spans="2:27" x14ac:dyDescent="0.25">
      <c r="B44" s="4" t="s">
        <v>146</v>
      </c>
      <c r="C44" s="8">
        <v>9.0625</v>
      </c>
      <c r="D44" s="8">
        <v>7.5</v>
      </c>
      <c r="E44" s="8">
        <v>5.5625</v>
      </c>
      <c r="F44" s="8">
        <v>4.875</v>
      </c>
      <c r="G44" s="8">
        <v>5.5</v>
      </c>
      <c r="H44" s="9">
        <v>4.5625</v>
      </c>
      <c r="I44" s="8">
        <v>6.875</v>
      </c>
      <c r="J44" s="8">
        <v>9.1875</v>
      </c>
      <c r="K44" s="8">
        <v>7.875</v>
      </c>
      <c r="L44" s="8">
        <v>5.875</v>
      </c>
      <c r="M44" s="8">
        <v>5.25</v>
      </c>
      <c r="N44" s="8">
        <v>5.875</v>
      </c>
      <c r="P44">
        <f t="shared" si="1"/>
        <v>0</v>
      </c>
      <c r="Q44">
        <f t="shared" si="2"/>
        <v>0</v>
      </c>
      <c r="R44">
        <f t="shared" si="3"/>
        <v>0</v>
      </c>
      <c r="S44">
        <f t="shared" si="4"/>
        <v>0</v>
      </c>
      <c r="T44">
        <f t="shared" si="5"/>
        <v>0</v>
      </c>
      <c r="U44">
        <f t="shared" si="6"/>
        <v>1</v>
      </c>
      <c r="V44">
        <f t="shared" si="7"/>
        <v>0</v>
      </c>
      <c r="W44">
        <f t="shared" si="8"/>
        <v>0</v>
      </c>
      <c r="X44">
        <f t="shared" si="9"/>
        <v>0</v>
      </c>
      <c r="Y44">
        <f t="shared" si="10"/>
        <v>0</v>
      </c>
      <c r="Z44">
        <f t="shared" si="11"/>
        <v>0</v>
      </c>
      <c r="AA44">
        <f t="shared" si="12"/>
        <v>0</v>
      </c>
    </row>
    <row r="45" spans="2:27" x14ac:dyDescent="0.25">
      <c r="B45" s="4" t="s">
        <v>148</v>
      </c>
      <c r="C45" s="8">
        <v>8.5</v>
      </c>
      <c r="D45" s="8">
        <v>9.125</v>
      </c>
      <c r="E45" s="8">
        <v>7</v>
      </c>
      <c r="F45" s="8">
        <v>4.625</v>
      </c>
      <c r="G45" s="8">
        <v>5.75</v>
      </c>
      <c r="H45" s="8">
        <v>6.5</v>
      </c>
      <c r="I45" s="8">
        <v>7.25</v>
      </c>
      <c r="J45" s="8">
        <v>7.75</v>
      </c>
      <c r="K45" s="8">
        <v>7.875</v>
      </c>
      <c r="L45" s="9">
        <v>2.625</v>
      </c>
      <c r="M45" s="8">
        <v>8.375</v>
      </c>
      <c r="N45" s="9">
        <v>2.625</v>
      </c>
      <c r="P45">
        <f t="shared" si="1"/>
        <v>0</v>
      </c>
      <c r="Q45">
        <f t="shared" si="2"/>
        <v>0</v>
      </c>
      <c r="R45">
        <f t="shared" si="3"/>
        <v>0</v>
      </c>
      <c r="S45">
        <f t="shared" si="4"/>
        <v>0</v>
      </c>
      <c r="T45">
        <f t="shared" si="5"/>
        <v>0</v>
      </c>
      <c r="U45">
        <f t="shared" si="6"/>
        <v>0</v>
      </c>
      <c r="V45">
        <f t="shared" si="7"/>
        <v>0</v>
      </c>
      <c r="W45">
        <f t="shared" si="8"/>
        <v>0</v>
      </c>
      <c r="X45">
        <f t="shared" si="9"/>
        <v>0</v>
      </c>
      <c r="Y45">
        <f t="shared" si="10"/>
        <v>1</v>
      </c>
      <c r="Z45">
        <f t="shared" si="11"/>
        <v>0</v>
      </c>
      <c r="AA45">
        <f t="shared" si="12"/>
        <v>1</v>
      </c>
    </row>
    <row r="46" spans="2:27" x14ac:dyDescent="0.25">
      <c r="B46" s="4" t="s">
        <v>150</v>
      </c>
      <c r="C46" s="9">
        <v>4.5</v>
      </c>
      <c r="D46" s="8">
        <v>8.875</v>
      </c>
      <c r="E46" s="8">
        <v>7.0625</v>
      </c>
      <c r="F46" s="8">
        <v>6.25</v>
      </c>
      <c r="G46" s="8">
        <v>8.25</v>
      </c>
      <c r="H46" s="8">
        <v>5.75</v>
      </c>
      <c r="I46" s="8">
        <v>5.0625</v>
      </c>
      <c r="J46" s="8">
        <v>4.75</v>
      </c>
      <c r="K46" s="8">
        <v>7.625</v>
      </c>
      <c r="L46" s="8">
        <v>8.625</v>
      </c>
      <c r="M46" s="8">
        <v>6</v>
      </c>
      <c r="N46" s="8">
        <v>5.25</v>
      </c>
      <c r="P46">
        <f t="shared" si="1"/>
        <v>1</v>
      </c>
      <c r="Q46">
        <f t="shared" si="2"/>
        <v>0</v>
      </c>
      <c r="R46">
        <f t="shared" si="3"/>
        <v>0</v>
      </c>
      <c r="S46">
        <f t="shared" si="4"/>
        <v>0</v>
      </c>
      <c r="T46">
        <f t="shared" si="5"/>
        <v>0</v>
      </c>
      <c r="U46">
        <f t="shared" si="6"/>
        <v>0</v>
      </c>
      <c r="V46">
        <f t="shared" si="7"/>
        <v>0</v>
      </c>
      <c r="W46">
        <f t="shared" si="8"/>
        <v>0</v>
      </c>
      <c r="X46">
        <f t="shared" si="9"/>
        <v>0</v>
      </c>
      <c r="Y46">
        <f t="shared" si="10"/>
        <v>0</v>
      </c>
      <c r="Z46">
        <f t="shared" si="11"/>
        <v>0</v>
      </c>
      <c r="AA46">
        <f t="shared" si="12"/>
        <v>0</v>
      </c>
    </row>
    <row r="47" spans="2:27" x14ac:dyDescent="0.25">
      <c r="B47" s="4" t="s">
        <v>152</v>
      </c>
      <c r="C47" s="8">
        <v>7.1875</v>
      </c>
      <c r="D47" s="8">
        <v>7.25</v>
      </c>
      <c r="E47" s="8">
        <v>7.125</v>
      </c>
      <c r="F47" s="9">
        <v>4.5625</v>
      </c>
      <c r="G47" s="8">
        <v>5.5625</v>
      </c>
      <c r="H47" s="8">
        <v>5.375</v>
      </c>
      <c r="I47" s="8">
        <v>8.5</v>
      </c>
      <c r="J47" s="8">
        <v>7.0625</v>
      </c>
      <c r="K47" s="8">
        <v>5.8125</v>
      </c>
      <c r="L47" s="8">
        <v>7.125</v>
      </c>
      <c r="M47" s="8">
        <v>7.25</v>
      </c>
      <c r="N47" s="8">
        <v>5.1875</v>
      </c>
      <c r="P47">
        <f t="shared" si="1"/>
        <v>0</v>
      </c>
      <c r="Q47">
        <f t="shared" si="2"/>
        <v>0</v>
      </c>
      <c r="R47">
        <f t="shared" si="3"/>
        <v>0</v>
      </c>
      <c r="S47">
        <f t="shared" si="4"/>
        <v>1</v>
      </c>
      <c r="T47">
        <f t="shared" si="5"/>
        <v>0</v>
      </c>
      <c r="U47">
        <f t="shared" si="6"/>
        <v>0</v>
      </c>
      <c r="V47">
        <f t="shared" si="7"/>
        <v>0</v>
      </c>
      <c r="W47">
        <f t="shared" si="8"/>
        <v>0</v>
      </c>
      <c r="X47">
        <f t="shared" si="9"/>
        <v>0</v>
      </c>
      <c r="Y47">
        <f t="shared" si="10"/>
        <v>0</v>
      </c>
      <c r="Z47">
        <f t="shared" si="11"/>
        <v>0</v>
      </c>
      <c r="AA47">
        <f t="shared" si="12"/>
        <v>0</v>
      </c>
    </row>
    <row r="48" spans="2:27" x14ac:dyDescent="0.25">
      <c r="B48" s="4" t="s">
        <v>154</v>
      </c>
      <c r="C48" s="8">
        <v>6.3125</v>
      </c>
      <c r="D48" s="8">
        <v>6.6875</v>
      </c>
      <c r="E48" s="8">
        <v>6.8125</v>
      </c>
      <c r="F48" s="9">
        <v>5.125</v>
      </c>
      <c r="G48" s="8">
        <v>5.25</v>
      </c>
      <c r="H48" s="8">
        <v>6.9375</v>
      </c>
      <c r="I48" s="8">
        <v>6.3125</v>
      </c>
      <c r="J48" s="8">
        <v>7.5625</v>
      </c>
      <c r="K48" s="8">
        <v>5.4375</v>
      </c>
      <c r="L48" s="8">
        <v>6.9375</v>
      </c>
      <c r="M48" s="8">
        <v>8.9375</v>
      </c>
      <c r="N48" s="8">
        <v>5.6875</v>
      </c>
      <c r="P48">
        <f t="shared" si="1"/>
        <v>0</v>
      </c>
      <c r="Q48">
        <f t="shared" si="2"/>
        <v>0</v>
      </c>
      <c r="R48">
        <f t="shared" si="3"/>
        <v>0</v>
      </c>
      <c r="S48">
        <f t="shared" si="4"/>
        <v>1</v>
      </c>
      <c r="T48">
        <f t="shared" si="5"/>
        <v>0</v>
      </c>
      <c r="U48">
        <f t="shared" si="6"/>
        <v>0</v>
      </c>
      <c r="V48">
        <f t="shared" si="7"/>
        <v>0</v>
      </c>
      <c r="W48">
        <f t="shared" si="8"/>
        <v>0</v>
      </c>
      <c r="X48">
        <f t="shared" si="9"/>
        <v>0</v>
      </c>
      <c r="Y48">
        <f t="shared" si="10"/>
        <v>0</v>
      </c>
      <c r="Z48">
        <f t="shared" si="11"/>
        <v>0</v>
      </c>
      <c r="AA48">
        <f t="shared" si="12"/>
        <v>0</v>
      </c>
    </row>
    <row r="49" spans="2:27" x14ac:dyDescent="0.25">
      <c r="B49" s="4" t="s">
        <v>156</v>
      </c>
      <c r="C49" s="8">
        <v>7.125</v>
      </c>
      <c r="D49" s="8">
        <v>6.25</v>
      </c>
      <c r="E49" s="8">
        <v>6</v>
      </c>
      <c r="F49" s="8">
        <v>5.1875</v>
      </c>
      <c r="G49" s="9">
        <v>4.0625</v>
      </c>
      <c r="H49" s="8">
        <v>6.3125</v>
      </c>
      <c r="I49" s="8">
        <v>7.5</v>
      </c>
      <c r="J49" s="8">
        <v>7.5</v>
      </c>
      <c r="K49" s="8">
        <v>7.875</v>
      </c>
      <c r="L49" s="8">
        <v>5.875</v>
      </c>
      <c r="M49" s="8">
        <v>8.1875</v>
      </c>
      <c r="N49" s="8">
        <v>6.125</v>
      </c>
      <c r="P49">
        <f t="shared" si="1"/>
        <v>0</v>
      </c>
      <c r="Q49">
        <f t="shared" si="2"/>
        <v>0</v>
      </c>
      <c r="R49">
        <f t="shared" si="3"/>
        <v>0</v>
      </c>
      <c r="S49">
        <f t="shared" si="4"/>
        <v>0</v>
      </c>
      <c r="T49">
        <f t="shared" si="5"/>
        <v>1</v>
      </c>
      <c r="U49">
        <f t="shared" si="6"/>
        <v>0</v>
      </c>
      <c r="V49">
        <f t="shared" si="7"/>
        <v>0</v>
      </c>
      <c r="W49">
        <f t="shared" si="8"/>
        <v>0</v>
      </c>
      <c r="X49">
        <f t="shared" si="9"/>
        <v>0</v>
      </c>
      <c r="Y49">
        <f t="shared" si="10"/>
        <v>0</v>
      </c>
      <c r="Z49">
        <f t="shared" si="11"/>
        <v>0</v>
      </c>
      <c r="AA49">
        <f t="shared" si="12"/>
        <v>0</v>
      </c>
    </row>
    <row r="50" spans="2:27" x14ac:dyDescent="0.25">
      <c r="B50" s="4" t="s">
        <v>158</v>
      </c>
      <c r="C50" s="8">
        <v>6.625</v>
      </c>
      <c r="D50" s="8">
        <v>7.25</v>
      </c>
      <c r="E50" s="8">
        <v>7.25</v>
      </c>
      <c r="F50" s="8">
        <v>5.5</v>
      </c>
      <c r="G50" s="8">
        <v>6</v>
      </c>
      <c r="H50" s="8">
        <v>5.5</v>
      </c>
      <c r="I50" s="8">
        <v>8.125</v>
      </c>
      <c r="J50" s="8">
        <v>6.75</v>
      </c>
      <c r="K50" s="9">
        <v>4.75</v>
      </c>
      <c r="L50" s="8">
        <v>7.5</v>
      </c>
      <c r="M50" s="8">
        <v>6.375</v>
      </c>
      <c r="N50" s="8">
        <v>6.375</v>
      </c>
      <c r="P50">
        <f t="shared" si="1"/>
        <v>0</v>
      </c>
      <c r="Q50">
        <f t="shared" si="2"/>
        <v>0</v>
      </c>
      <c r="R50">
        <f t="shared" si="3"/>
        <v>0</v>
      </c>
      <c r="S50">
        <f t="shared" si="4"/>
        <v>0</v>
      </c>
      <c r="T50">
        <f t="shared" si="5"/>
        <v>0</v>
      </c>
      <c r="U50">
        <f t="shared" si="6"/>
        <v>0</v>
      </c>
      <c r="V50">
        <f t="shared" si="7"/>
        <v>0</v>
      </c>
      <c r="W50">
        <f t="shared" si="8"/>
        <v>0</v>
      </c>
      <c r="X50">
        <f t="shared" si="9"/>
        <v>1</v>
      </c>
      <c r="Y50">
        <f t="shared" si="10"/>
        <v>0</v>
      </c>
      <c r="Z50">
        <f t="shared" si="11"/>
        <v>0</v>
      </c>
      <c r="AA50">
        <f t="shared" si="12"/>
        <v>0</v>
      </c>
    </row>
    <row r="51" spans="2:27" x14ac:dyDescent="0.25">
      <c r="B51" s="4" t="s">
        <v>160</v>
      </c>
      <c r="C51" s="8">
        <v>6.375</v>
      </c>
      <c r="D51" s="9">
        <v>4.875</v>
      </c>
      <c r="E51" s="8">
        <v>6.5625</v>
      </c>
      <c r="F51" s="8">
        <v>7.1875</v>
      </c>
      <c r="G51" s="8">
        <v>7.75</v>
      </c>
      <c r="H51" s="8">
        <v>5.5</v>
      </c>
      <c r="I51" s="8">
        <v>6</v>
      </c>
      <c r="J51" s="8">
        <v>6.375</v>
      </c>
      <c r="K51" s="8">
        <v>5.875</v>
      </c>
      <c r="L51" s="8">
        <v>8.125</v>
      </c>
      <c r="M51" s="8">
        <v>7.3125</v>
      </c>
      <c r="N51" s="8">
        <v>6.0625</v>
      </c>
      <c r="P51">
        <f t="shared" si="1"/>
        <v>0</v>
      </c>
      <c r="Q51">
        <f t="shared" si="2"/>
        <v>1</v>
      </c>
      <c r="R51">
        <f t="shared" si="3"/>
        <v>0</v>
      </c>
      <c r="S51">
        <f t="shared" si="4"/>
        <v>0</v>
      </c>
      <c r="T51">
        <f t="shared" si="5"/>
        <v>0</v>
      </c>
      <c r="U51">
        <f t="shared" si="6"/>
        <v>0</v>
      </c>
      <c r="V51">
        <f t="shared" si="7"/>
        <v>0</v>
      </c>
      <c r="W51">
        <f t="shared" si="8"/>
        <v>0</v>
      </c>
      <c r="X51">
        <f t="shared" si="9"/>
        <v>0</v>
      </c>
      <c r="Y51">
        <f t="shared" si="10"/>
        <v>0</v>
      </c>
      <c r="Z51">
        <f t="shared" si="11"/>
        <v>0</v>
      </c>
      <c r="AA51">
        <f t="shared" si="12"/>
        <v>0</v>
      </c>
    </row>
    <row r="52" spans="2:27" x14ac:dyDescent="0.25">
      <c r="B52" s="4" t="s">
        <v>162</v>
      </c>
      <c r="C52" s="8">
        <v>9.8125</v>
      </c>
      <c r="D52" s="8">
        <v>7.5625</v>
      </c>
      <c r="E52" s="8">
        <v>4.8125</v>
      </c>
      <c r="F52" s="8">
        <v>6.25</v>
      </c>
      <c r="G52" s="9">
        <v>3.4375</v>
      </c>
      <c r="H52" s="8">
        <v>4.1875</v>
      </c>
      <c r="I52" s="8">
        <v>7.125</v>
      </c>
      <c r="J52" s="8">
        <v>8.625</v>
      </c>
      <c r="K52" s="8">
        <v>5.5625</v>
      </c>
      <c r="L52" s="8">
        <v>9.5625</v>
      </c>
      <c r="M52" s="8">
        <v>7.625</v>
      </c>
      <c r="N52" s="9">
        <v>3.4375</v>
      </c>
      <c r="P52">
        <f t="shared" si="1"/>
        <v>0</v>
      </c>
      <c r="Q52">
        <f t="shared" si="2"/>
        <v>0</v>
      </c>
      <c r="R52">
        <f t="shared" si="3"/>
        <v>0</v>
      </c>
      <c r="S52">
        <f t="shared" si="4"/>
        <v>0</v>
      </c>
      <c r="T52">
        <f t="shared" si="5"/>
        <v>1</v>
      </c>
      <c r="U52">
        <f t="shared" si="6"/>
        <v>0</v>
      </c>
      <c r="V52">
        <f t="shared" si="7"/>
        <v>0</v>
      </c>
      <c r="W52">
        <f t="shared" si="8"/>
        <v>0</v>
      </c>
      <c r="X52">
        <f t="shared" si="9"/>
        <v>0</v>
      </c>
      <c r="Y52">
        <f t="shared" si="10"/>
        <v>0</v>
      </c>
      <c r="Z52">
        <f t="shared" si="11"/>
        <v>0</v>
      </c>
      <c r="AA52">
        <f t="shared" si="12"/>
        <v>1</v>
      </c>
    </row>
    <row r="53" spans="2:27" x14ac:dyDescent="0.25">
      <c r="B53" s="4" t="s">
        <v>164</v>
      </c>
      <c r="C53" s="8">
        <v>8.25</v>
      </c>
      <c r="D53" s="8">
        <v>8.5</v>
      </c>
      <c r="E53" s="8">
        <v>5.0625</v>
      </c>
      <c r="F53" s="8">
        <v>5.25</v>
      </c>
      <c r="G53" s="8">
        <v>6</v>
      </c>
      <c r="H53" s="8">
        <v>5.25</v>
      </c>
      <c r="I53" s="8">
        <v>6.1875</v>
      </c>
      <c r="J53" s="8">
        <v>9.75</v>
      </c>
      <c r="K53" s="8">
        <v>5</v>
      </c>
      <c r="L53" s="8">
        <v>6.625</v>
      </c>
      <c r="M53" s="8">
        <v>9.375</v>
      </c>
      <c r="N53" s="9">
        <v>2.75</v>
      </c>
      <c r="P53">
        <f t="shared" si="1"/>
        <v>0</v>
      </c>
      <c r="Q53">
        <f t="shared" si="2"/>
        <v>0</v>
      </c>
      <c r="R53">
        <f t="shared" si="3"/>
        <v>0</v>
      </c>
      <c r="S53">
        <f t="shared" si="4"/>
        <v>0</v>
      </c>
      <c r="T53">
        <f t="shared" si="5"/>
        <v>0</v>
      </c>
      <c r="U53">
        <f t="shared" si="6"/>
        <v>0</v>
      </c>
      <c r="V53">
        <f t="shared" si="7"/>
        <v>0</v>
      </c>
      <c r="W53">
        <f t="shared" si="8"/>
        <v>0</v>
      </c>
      <c r="X53">
        <f t="shared" si="9"/>
        <v>0</v>
      </c>
      <c r="Y53">
        <f t="shared" si="10"/>
        <v>0</v>
      </c>
      <c r="Z53">
        <f t="shared" si="11"/>
        <v>0</v>
      </c>
      <c r="AA53">
        <f t="shared" si="12"/>
        <v>1</v>
      </c>
    </row>
    <row r="54" spans="2:27" x14ac:dyDescent="0.25">
      <c r="B54" s="4" t="s">
        <v>166</v>
      </c>
      <c r="C54" s="8">
        <v>7.625</v>
      </c>
      <c r="D54" s="8">
        <v>7.375</v>
      </c>
      <c r="E54" s="8">
        <v>6.125</v>
      </c>
      <c r="F54" s="8">
        <v>5.5</v>
      </c>
      <c r="G54" s="8">
        <v>7.625</v>
      </c>
      <c r="H54" s="9">
        <v>3.75</v>
      </c>
      <c r="I54" s="8">
        <v>8.125</v>
      </c>
      <c r="J54" s="8">
        <v>5.75</v>
      </c>
      <c r="K54" s="8">
        <v>7.875</v>
      </c>
      <c r="L54" s="8">
        <v>5.75</v>
      </c>
      <c r="M54" s="8">
        <v>8</v>
      </c>
      <c r="N54" s="8">
        <v>4.5</v>
      </c>
      <c r="P54">
        <f t="shared" si="1"/>
        <v>0</v>
      </c>
      <c r="Q54">
        <f t="shared" si="2"/>
        <v>0</v>
      </c>
      <c r="R54">
        <f t="shared" si="3"/>
        <v>0</v>
      </c>
      <c r="S54">
        <f t="shared" si="4"/>
        <v>0</v>
      </c>
      <c r="T54">
        <f t="shared" si="5"/>
        <v>0</v>
      </c>
      <c r="U54">
        <f t="shared" si="6"/>
        <v>1</v>
      </c>
      <c r="V54">
        <f t="shared" si="7"/>
        <v>0</v>
      </c>
      <c r="W54">
        <f t="shared" si="8"/>
        <v>0</v>
      </c>
      <c r="X54">
        <f t="shared" si="9"/>
        <v>0</v>
      </c>
      <c r="Y54">
        <f t="shared" si="10"/>
        <v>0</v>
      </c>
      <c r="Z54">
        <f t="shared" si="11"/>
        <v>0</v>
      </c>
      <c r="AA54">
        <f t="shared" si="12"/>
        <v>0</v>
      </c>
    </row>
    <row r="55" spans="2:27" x14ac:dyDescent="0.25">
      <c r="B55" s="3" t="s">
        <v>170</v>
      </c>
      <c r="C55" s="10">
        <v>7.0168269230769234</v>
      </c>
      <c r="D55" s="10">
        <v>6.9519230769230766</v>
      </c>
      <c r="E55" s="10">
        <v>6.3100961538461542</v>
      </c>
      <c r="F55" s="10">
        <v>5.978365384615385</v>
      </c>
      <c r="G55" s="10">
        <v>6.756009615384615</v>
      </c>
      <c r="H55" s="10">
        <v>5.743990384615385</v>
      </c>
      <c r="I55" s="10">
        <v>6.9723557692307692</v>
      </c>
      <c r="J55" s="10">
        <v>7.0360576923076925</v>
      </c>
      <c r="K55" s="10">
        <v>6.5576923076923075</v>
      </c>
      <c r="L55" s="10">
        <v>6.7764423076923075</v>
      </c>
      <c r="M55" s="10">
        <v>7.078125</v>
      </c>
      <c r="N55" s="11">
        <v>4.822115384615385</v>
      </c>
      <c r="P55">
        <f t="shared" ref="P55:AA55" si="13">SUM(P3:P54)</f>
        <v>3</v>
      </c>
      <c r="Q55">
        <f t="shared" si="13"/>
        <v>2</v>
      </c>
      <c r="R55">
        <f t="shared" si="13"/>
        <v>3</v>
      </c>
      <c r="S55">
        <f t="shared" si="13"/>
        <v>8</v>
      </c>
      <c r="T55">
        <f t="shared" si="13"/>
        <v>8</v>
      </c>
      <c r="U55">
        <f t="shared" si="13"/>
        <v>6</v>
      </c>
      <c r="V55">
        <f t="shared" si="13"/>
        <v>2</v>
      </c>
      <c r="W55">
        <f t="shared" si="13"/>
        <v>3</v>
      </c>
      <c r="X55">
        <f t="shared" si="13"/>
        <v>3</v>
      </c>
      <c r="Y55">
        <f t="shared" si="13"/>
        <v>6</v>
      </c>
      <c r="Z55">
        <f t="shared" si="13"/>
        <v>1</v>
      </c>
      <c r="AA55">
        <f t="shared" si="13"/>
        <v>18</v>
      </c>
    </row>
    <row r="56" spans="2:27" x14ac:dyDescent="0.25">
      <c r="B56" s="3" t="s">
        <v>171</v>
      </c>
      <c r="C56" s="6">
        <f>P55</f>
        <v>3</v>
      </c>
      <c r="D56" s="6">
        <f t="shared" ref="D56:N56" si="14">Q55</f>
        <v>2</v>
      </c>
      <c r="E56" s="6">
        <f t="shared" si="14"/>
        <v>3</v>
      </c>
      <c r="F56" s="6">
        <f t="shared" si="14"/>
        <v>8</v>
      </c>
      <c r="G56" s="6">
        <f t="shared" si="14"/>
        <v>8</v>
      </c>
      <c r="H56" s="6">
        <f t="shared" si="14"/>
        <v>6</v>
      </c>
      <c r="I56" s="6">
        <f t="shared" si="14"/>
        <v>2</v>
      </c>
      <c r="J56" s="6">
        <f t="shared" si="14"/>
        <v>3</v>
      </c>
      <c r="K56" s="6">
        <f t="shared" si="14"/>
        <v>3</v>
      </c>
      <c r="L56" s="6">
        <f t="shared" si="14"/>
        <v>6</v>
      </c>
      <c r="M56" s="6">
        <f t="shared" si="14"/>
        <v>1</v>
      </c>
      <c r="N56" s="45">
        <f t="shared" si="14"/>
        <v>18</v>
      </c>
    </row>
    <row r="59" spans="2:27" x14ac:dyDescent="0.25">
      <c r="B59" s="2" t="s">
        <v>169</v>
      </c>
      <c r="C59" s="2" t="s">
        <v>0</v>
      </c>
      <c r="D59" s="2" t="s">
        <v>1</v>
      </c>
      <c r="E59" s="2" t="s">
        <v>2</v>
      </c>
      <c r="F59" s="2" t="s">
        <v>3</v>
      </c>
      <c r="G59" s="2" t="s">
        <v>4</v>
      </c>
      <c r="H59" s="2" t="s">
        <v>5</v>
      </c>
      <c r="I59" s="2" t="s">
        <v>6</v>
      </c>
      <c r="J59" s="2" t="s">
        <v>7</v>
      </c>
      <c r="K59" s="2" t="s">
        <v>8</v>
      </c>
      <c r="L59" s="2" t="s">
        <v>9</v>
      </c>
      <c r="M59" s="2" t="s">
        <v>10</v>
      </c>
      <c r="N59" s="2" t="s">
        <v>11</v>
      </c>
      <c r="P59" s="1" t="s">
        <v>0</v>
      </c>
      <c r="Q59" s="1" t="s">
        <v>1</v>
      </c>
      <c r="R59" s="1" t="s">
        <v>2</v>
      </c>
      <c r="S59" s="1" t="s">
        <v>3</v>
      </c>
      <c r="T59" s="1" t="s">
        <v>4</v>
      </c>
      <c r="U59" s="1" t="s">
        <v>5</v>
      </c>
      <c r="V59" s="1" t="s">
        <v>6</v>
      </c>
      <c r="W59" s="1" t="s">
        <v>7</v>
      </c>
      <c r="X59" s="1" t="s">
        <v>8</v>
      </c>
      <c r="Y59" s="1" t="s">
        <v>9</v>
      </c>
      <c r="Z59" s="1" t="s">
        <v>10</v>
      </c>
      <c r="AA59" s="1" t="s">
        <v>11</v>
      </c>
    </row>
    <row r="60" spans="2:27" x14ac:dyDescent="0.25">
      <c r="B60" s="19" t="s">
        <v>65</v>
      </c>
      <c r="C60" s="21">
        <v>0.9110576923076924</v>
      </c>
      <c r="D60" s="21">
        <v>0.9174278846153846</v>
      </c>
      <c r="E60" s="21">
        <v>0.91634615384615392</v>
      </c>
      <c r="F60" s="21">
        <v>0.91718749999999993</v>
      </c>
      <c r="G60" s="21">
        <v>0.91923076923076918</v>
      </c>
      <c r="H60" s="20">
        <v>0.93497596153846152</v>
      </c>
      <c r="I60" s="21">
        <v>0.93233173076923082</v>
      </c>
      <c r="J60" s="21">
        <v>0.92295673076923068</v>
      </c>
      <c r="K60" s="21">
        <v>0.92355769230769247</v>
      </c>
      <c r="L60" s="21">
        <v>0.92343750000000002</v>
      </c>
      <c r="M60" s="21">
        <v>0.91574519230769247</v>
      </c>
      <c r="N60" s="21">
        <v>0.93461538461538463</v>
      </c>
      <c r="P60">
        <f>IF(C60=MAX($C60:$N60),1,0)</f>
        <v>0</v>
      </c>
      <c r="Q60">
        <f t="shared" ref="Q60:AA75" si="15">IF(D60=MAX($C60:$N60),1,0)</f>
        <v>0</v>
      </c>
      <c r="R60">
        <f t="shared" si="15"/>
        <v>0</v>
      </c>
      <c r="S60">
        <f t="shared" si="15"/>
        <v>0</v>
      </c>
      <c r="T60">
        <f t="shared" si="15"/>
        <v>0</v>
      </c>
      <c r="U60">
        <f t="shared" si="15"/>
        <v>1</v>
      </c>
      <c r="V60">
        <f t="shared" si="15"/>
        <v>0</v>
      </c>
      <c r="W60">
        <f t="shared" si="15"/>
        <v>0</v>
      </c>
      <c r="X60">
        <f t="shared" si="15"/>
        <v>0</v>
      </c>
      <c r="Y60">
        <f t="shared" si="15"/>
        <v>0</v>
      </c>
      <c r="Z60">
        <f t="shared" si="15"/>
        <v>0</v>
      </c>
      <c r="AA60">
        <f t="shared" si="15"/>
        <v>0</v>
      </c>
    </row>
    <row r="61" spans="2:27" x14ac:dyDescent="0.25">
      <c r="B61" s="19" t="s">
        <v>67</v>
      </c>
      <c r="C61" s="21">
        <v>0.9185035842293906</v>
      </c>
      <c r="D61" s="21">
        <v>0.89861335125448027</v>
      </c>
      <c r="E61" s="21">
        <v>0.91080645161290341</v>
      </c>
      <c r="F61" s="21">
        <v>0.90260752688172041</v>
      </c>
      <c r="G61" s="21">
        <v>0.91416442652329755</v>
      </c>
      <c r="H61" s="21">
        <v>0.91324820788530481</v>
      </c>
      <c r="I61" s="21">
        <v>0.91945116487455203</v>
      </c>
      <c r="J61" s="21">
        <v>0.91735887096774194</v>
      </c>
      <c r="K61" s="21">
        <v>0.904997759856631</v>
      </c>
      <c r="L61" s="21">
        <v>0.90733198924731173</v>
      </c>
      <c r="M61" s="21">
        <v>0.89959229390680995</v>
      </c>
      <c r="N61" s="20">
        <v>0.9382246863799284</v>
      </c>
      <c r="P61">
        <f t="shared" ref="P61:AA95" si="16">IF(C61=MAX($C61:$N61),1,0)</f>
        <v>0</v>
      </c>
      <c r="Q61">
        <f t="shared" si="15"/>
        <v>0</v>
      </c>
      <c r="R61">
        <f t="shared" si="15"/>
        <v>0</v>
      </c>
      <c r="S61">
        <f t="shared" si="15"/>
        <v>0</v>
      </c>
      <c r="T61">
        <f t="shared" si="15"/>
        <v>0</v>
      </c>
      <c r="U61">
        <f t="shared" si="15"/>
        <v>0</v>
      </c>
      <c r="V61">
        <f t="shared" si="15"/>
        <v>0</v>
      </c>
      <c r="W61">
        <f t="shared" si="15"/>
        <v>0</v>
      </c>
      <c r="X61">
        <f t="shared" si="15"/>
        <v>0</v>
      </c>
      <c r="Y61">
        <f t="shared" si="15"/>
        <v>0</v>
      </c>
      <c r="Z61">
        <f t="shared" si="15"/>
        <v>0</v>
      </c>
      <c r="AA61">
        <f t="shared" si="15"/>
        <v>1</v>
      </c>
    </row>
    <row r="62" spans="2:27" x14ac:dyDescent="0.25">
      <c r="B62" s="19" t="s">
        <v>69</v>
      </c>
      <c r="C62" s="21">
        <v>0.93807795698924723</v>
      </c>
      <c r="D62" s="21">
        <v>0.93288978494623653</v>
      </c>
      <c r="E62" s="21">
        <v>0.94658602150537652</v>
      </c>
      <c r="F62" s="21">
        <v>0.9403024193548386</v>
      </c>
      <c r="G62" s="21">
        <v>0.93954637096774185</v>
      </c>
      <c r="H62" s="21">
        <v>0.94391465053763446</v>
      </c>
      <c r="I62" s="21">
        <v>0.9499966397849462</v>
      </c>
      <c r="J62" s="21">
        <v>0.93534946236559147</v>
      </c>
      <c r="K62" s="21">
        <v>0.92428763440860218</v>
      </c>
      <c r="L62" s="21">
        <v>0.94744623655913973</v>
      </c>
      <c r="M62" s="21">
        <v>0.93642137096774203</v>
      </c>
      <c r="N62" s="20">
        <v>0.95287634408602151</v>
      </c>
      <c r="P62">
        <f t="shared" si="16"/>
        <v>0</v>
      </c>
      <c r="Q62">
        <f t="shared" si="15"/>
        <v>0</v>
      </c>
      <c r="R62">
        <f t="shared" si="15"/>
        <v>0</v>
      </c>
      <c r="S62">
        <f t="shared" si="15"/>
        <v>0</v>
      </c>
      <c r="T62">
        <f t="shared" si="15"/>
        <v>0</v>
      </c>
      <c r="U62">
        <f t="shared" si="15"/>
        <v>0</v>
      </c>
      <c r="V62">
        <f t="shared" si="15"/>
        <v>0</v>
      </c>
      <c r="W62">
        <f t="shared" si="15"/>
        <v>0</v>
      </c>
      <c r="X62">
        <f t="shared" si="15"/>
        <v>0</v>
      </c>
      <c r="Y62">
        <f t="shared" si="15"/>
        <v>0</v>
      </c>
      <c r="Z62">
        <f t="shared" si="15"/>
        <v>0</v>
      </c>
      <c r="AA62">
        <f t="shared" si="15"/>
        <v>1</v>
      </c>
    </row>
    <row r="63" spans="2:27" x14ac:dyDescent="0.25">
      <c r="B63" s="19" t="s">
        <v>71</v>
      </c>
      <c r="C63" s="21">
        <v>0.92911931818181814</v>
      </c>
      <c r="D63" s="21">
        <v>0.90842803030303032</v>
      </c>
      <c r="E63" s="21">
        <v>0.91448863636363631</v>
      </c>
      <c r="F63" s="21">
        <v>0.91723484848484826</v>
      </c>
      <c r="G63" s="21">
        <v>0.92357954545454535</v>
      </c>
      <c r="H63" s="21">
        <v>0.93896780303030303</v>
      </c>
      <c r="I63" s="21">
        <v>0.92391098484848488</v>
      </c>
      <c r="J63" s="21">
        <v>0.92339015151515147</v>
      </c>
      <c r="K63" s="21">
        <v>0.93063446969696961</v>
      </c>
      <c r="L63" s="21">
        <v>0.93418560606060608</v>
      </c>
      <c r="M63" s="21">
        <v>0.93394886363636354</v>
      </c>
      <c r="N63" s="20">
        <v>0.95018939393939394</v>
      </c>
      <c r="P63">
        <f t="shared" si="16"/>
        <v>0</v>
      </c>
      <c r="Q63">
        <f t="shared" si="15"/>
        <v>0</v>
      </c>
      <c r="R63">
        <f t="shared" si="15"/>
        <v>0</v>
      </c>
      <c r="S63">
        <f t="shared" si="15"/>
        <v>0</v>
      </c>
      <c r="T63">
        <f t="shared" si="15"/>
        <v>0</v>
      </c>
      <c r="U63">
        <f t="shared" si="15"/>
        <v>0</v>
      </c>
      <c r="V63">
        <f t="shared" si="15"/>
        <v>0</v>
      </c>
      <c r="W63">
        <f t="shared" si="15"/>
        <v>0</v>
      </c>
      <c r="X63">
        <f t="shared" si="15"/>
        <v>0</v>
      </c>
      <c r="Y63">
        <f t="shared" si="15"/>
        <v>0</v>
      </c>
      <c r="Z63">
        <f t="shared" si="15"/>
        <v>0</v>
      </c>
      <c r="AA63">
        <f t="shared" si="15"/>
        <v>1</v>
      </c>
    </row>
    <row r="64" spans="2:27" x14ac:dyDescent="0.25">
      <c r="B64" s="19" t="s">
        <v>73</v>
      </c>
      <c r="C64" s="21">
        <v>0.9255681818181819</v>
      </c>
      <c r="D64" s="21">
        <v>0.92002840909090899</v>
      </c>
      <c r="E64" s="21">
        <v>0.92911931818181825</v>
      </c>
      <c r="F64" s="21">
        <v>0.93877840909090904</v>
      </c>
      <c r="G64" s="20">
        <v>0.94190340909090908</v>
      </c>
      <c r="H64" s="21">
        <v>0.92855113636363629</v>
      </c>
      <c r="I64" s="21">
        <v>0.9248579545454545</v>
      </c>
      <c r="J64" s="21">
        <v>0.93224431818181819</v>
      </c>
      <c r="K64" s="21">
        <v>0.93238636363636362</v>
      </c>
      <c r="L64" s="21">
        <v>0.92926136363636347</v>
      </c>
      <c r="M64" s="21">
        <v>0.91789772727272723</v>
      </c>
      <c r="N64" s="21">
        <v>0.9397727272727272</v>
      </c>
      <c r="P64">
        <f t="shared" si="16"/>
        <v>0</v>
      </c>
      <c r="Q64">
        <f t="shared" si="15"/>
        <v>0</v>
      </c>
      <c r="R64">
        <f t="shared" si="15"/>
        <v>0</v>
      </c>
      <c r="S64">
        <f t="shared" si="15"/>
        <v>0</v>
      </c>
      <c r="T64">
        <f t="shared" si="15"/>
        <v>1</v>
      </c>
      <c r="U64">
        <f t="shared" si="15"/>
        <v>0</v>
      </c>
      <c r="V64">
        <f t="shared" si="15"/>
        <v>0</v>
      </c>
      <c r="W64">
        <f t="shared" si="15"/>
        <v>0</v>
      </c>
      <c r="X64">
        <f t="shared" si="15"/>
        <v>0</v>
      </c>
      <c r="Y64">
        <f t="shared" si="15"/>
        <v>0</v>
      </c>
      <c r="Z64">
        <f t="shared" si="15"/>
        <v>0</v>
      </c>
      <c r="AA64">
        <f t="shared" si="15"/>
        <v>0</v>
      </c>
    </row>
    <row r="65" spans="2:27" x14ac:dyDescent="0.25">
      <c r="B65" s="19" t="s">
        <v>75</v>
      </c>
      <c r="C65" s="21">
        <v>0.90902777777777777</v>
      </c>
      <c r="D65" s="21">
        <v>0.91616410818713456</v>
      </c>
      <c r="E65" s="21">
        <v>0.92050438596491224</v>
      </c>
      <c r="F65" s="21">
        <v>0.92779605263157916</v>
      </c>
      <c r="G65" s="21">
        <v>0.91550621345029237</v>
      </c>
      <c r="H65" s="21">
        <v>0.92485380116959071</v>
      </c>
      <c r="I65" s="21">
        <v>0.90466008771929829</v>
      </c>
      <c r="J65" s="21">
        <v>0.92777777777777781</v>
      </c>
      <c r="K65" s="21">
        <v>0.91149488304093562</v>
      </c>
      <c r="L65" s="21">
        <v>0.91694078947368407</v>
      </c>
      <c r="M65" s="21">
        <v>0.91459247076023387</v>
      </c>
      <c r="N65" s="20">
        <v>0.93039108187134512</v>
      </c>
      <c r="P65">
        <f t="shared" si="16"/>
        <v>0</v>
      </c>
      <c r="Q65">
        <f t="shared" si="15"/>
        <v>0</v>
      </c>
      <c r="R65">
        <f t="shared" si="15"/>
        <v>0</v>
      </c>
      <c r="S65">
        <f t="shared" si="15"/>
        <v>0</v>
      </c>
      <c r="T65">
        <f t="shared" si="15"/>
        <v>0</v>
      </c>
      <c r="U65">
        <f t="shared" si="15"/>
        <v>0</v>
      </c>
      <c r="V65">
        <f t="shared" si="15"/>
        <v>0</v>
      </c>
      <c r="W65">
        <f t="shared" si="15"/>
        <v>0</v>
      </c>
      <c r="X65">
        <f t="shared" si="15"/>
        <v>0</v>
      </c>
      <c r="Y65">
        <f t="shared" si="15"/>
        <v>0</v>
      </c>
      <c r="Z65">
        <f t="shared" si="15"/>
        <v>0</v>
      </c>
      <c r="AA65">
        <f t="shared" si="15"/>
        <v>1</v>
      </c>
    </row>
    <row r="66" spans="2:27" x14ac:dyDescent="0.25">
      <c r="B66" s="19" t="s">
        <v>77</v>
      </c>
      <c r="C66" s="21">
        <v>0.92524532004830928</v>
      </c>
      <c r="D66" s="21">
        <v>0.93275588768115936</v>
      </c>
      <c r="E66" s="21">
        <v>0.91921422101449279</v>
      </c>
      <c r="F66" s="21">
        <v>0.93225769927536239</v>
      </c>
      <c r="G66" s="21">
        <v>0.92255812198067622</v>
      </c>
      <c r="H66" s="21">
        <v>0.9342580012077295</v>
      </c>
      <c r="I66" s="21">
        <v>0.91701011473429961</v>
      </c>
      <c r="J66" s="21">
        <v>0.9076426630434784</v>
      </c>
      <c r="K66" s="21">
        <v>0.92151268115942031</v>
      </c>
      <c r="L66" s="21">
        <v>0.92256567028985514</v>
      </c>
      <c r="M66" s="21">
        <v>0.92268266908212548</v>
      </c>
      <c r="N66" s="20">
        <v>0.93562801932367146</v>
      </c>
      <c r="P66">
        <f t="shared" si="16"/>
        <v>0</v>
      </c>
      <c r="Q66">
        <f t="shared" si="15"/>
        <v>0</v>
      </c>
      <c r="R66">
        <f t="shared" si="15"/>
        <v>0</v>
      </c>
      <c r="S66">
        <f t="shared" si="15"/>
        <v>0</v>
      </c>
      <c r="T66">
        <f t="shared" si="15"/>
        <v>0</v>
      </c>
      <c r="U66">
        <f t="shared" si="15"/>
        <v>0</v>
      </c>
      <c r="V66">
        <f t="shared" si="15"/>
        <v>0</v>
      </c>
      <c r="W66">
        <f t="shared" si="15"/>
        <v>0</v>
      </c>
      <c r="X66">
        <f t="shared" si="15"/>
        <v>0</v>
      </c>
      <c r="Y66">
        <f t="shared" si="15"/>
        <v>0</v>
      </c>
      <c r="Z66">
        <f t="shared" si="15"/>
        <v>0</v>
      </c>
      <c r="AA66">
        <f t="shared" si="15"/>
        <v>1</v>
      </c>
    </row>
    <row r="67" spans="2:27" x14ac:dyDescent="0.25">
      <c r="B67" s="19" t="s">
        <v>79</v>
      </c>
      <c r="C67" s="21">
        <v>0.91475694444444433</v>
      </c>
      <c r="D67" s="21">
        <v>0.92447916666666663</v>
      </c>
      <c r="E67" s="21">
        <v>0.9203125000000002</v>
      </c>
      <c r="F67" s="21">
        <v>0.93159722222222219</v>
      </c>
      <c r="G67" s="21">
        <v>0.92673611111111109</v>
      </c>
      <c r="H67" s="21">
        <v>0.93541666666666645</v>
      </c>
      <c r="I67" s="21">
        <v>0.92708333333333337</v>
      </c>
      <c r="J67" s="21">
        <v>0.92881944444444442</v>
      </c>
      <c r="K67" s="21">
        <v>0.93003472222222228</v>
      </c>
      <c r="L67" s="21">
        <v>0.91458333333333308</v>
      </c>
      <c r="M67" s="21">
        <v>0.91718750000000016</v>
      </c>
      <c r="N67" s="20">
        <v>0.94809027777777777</v>
      </c>
      <c r="P67">
        <f t="shared" si="16"/>
        <v>0</v>
      </c>
      <c r="Q67">
        <f t="shared" si="15"/>
        <v>0</v>
      </c>
      <c r="R67">
        <f t="shared" si="15"/>
        <v>0</v>
      </c>
      <c r="S67">
        <f t="shared" si="15"/>
        <v>0</v>
      </c>
      <c r="T67">
        <f t="shared" si="15"/>
        <v>0</v>
      </c>
      <c r="U67">
        <f t="shared" si="15"/>
        <v>0</v>
      </c>
      <c r="V67">
        <f t="shared" si="15"/>
        <v>0</v>
      </c>
      <c r="W67">
        <f t="shared" si="15"/>
        <v>0</v>
      </c>
      <c r="X67">
        <f t="shared" si="15"/>
        <v>0</v>
      </c>
      <c r="Y67">
        <f t="shared" si="15"/>
        <v>0</v>
      </c>
      <c r="Z67">
        <f t="shared" si="15"/>
        <v>0</v>
      </c>
      <c r="AA67">
        <f t="shared" si="15"/>
        <v>1</v>
      </c>
    </row>
    <row r="68" spans="2:27" x14ac:dyDescent="0.25">
      <c r="B68" s="19" t="s">
        <v>81</v>
      </c>
      <c r="C68" s="21">
        <v>0.89910453216374264</v>
      </c>
      <c r="D68" s="21">
        <v>0.91564327485380126</v>
      </c>
      <c r="E68" s="21">
        <v>0.90577485380116962</v>
      </c>
      <c r="F68" s="21">
        <v>0.91980080409356724</v>
      </c>
      <c r="G68" s="21">
        <v>0.92108004385964926</v>
      </c>
      <c r="H68" s="21">
        <v>0.92709247076023393</v>
      </c>
      <c r="I68" s="21">
        <v>0.92277046783625749</v>
      </c>
      <c r="J68" s="21">
        <v>0.91631030701754401</v>
      </c>
      <c r="K68" s="21">
        <v>0.92424159356725144</v>
      </c>
      <c r="L68" s="21">
        <v>0.91356907894736838</v>
      </c>
      <c r="M68" s="21">
        <v>0.91470211988304095</v>
      </c>
      <c r="N68" s="20">
        <v>0.93685124269005859</v>
      </c>
      <c r="P68">
        <f t="shared" si="16"/>
        <v>0</v>
      </c>
      <c r="Q68">
        <f t="shared" si="15"/>
        <v>0</v>
      </c>
      <c r="R68">
        <f t="shared" si="15"/>
        <v>0</v>
      </c>
      <c r="S68">
        <f t="shared" si="15"/>
        <v>0</v>
      </c>
      <c r="T68">
        <f t="shared" si="15"/>
        <v>0</v>
      </c>
      <c r="U68">
        <f t="shared" si="15"/>
        <v>0</v>
      </c>
      <c r="V68">
        <f t="shared" si="15"/>
        <v>0</v>
      </c>
      <c r="W68">
        <f t="shared" si="15"/>
        <v>0</v>
      </c>
      <c r="X68">
        <f t="shared" si="15"/>
        <v>0</v>
      </c>
      <c r="Y68">
        <f t="shared" si="15"/>
        <v>0</v>
      </c>
      <c r="Z68">
        <f t="shared" si="15"/>
        <v>0</v>
      </c>
      <c r="AA68">
        <f t="shared" si="15"/>
        <v>1</v>
      </c>
    </row>
    <row r="69" spans="2:27" x14ac:dyDescent="0.25">
      <c r="B69" s="19" t="s">
        <v>83</v>
      </c>
      <c r="C69" s="21">
        <v>0.9844568452380954</v>
      </c>
      <c r="D69" s="21">
        <v>0.98460937500000001</v>
      </c>
      <c r="E69" s="21">
        <v>0.98671130952380959</v>
      </c>
      <c r="F69" s="21">
        <v>0.98818824404761896</v>
      </c>
      <c r="G69" s="21">
        <v>0.98396205357142863</v>
      </c>
      <c r="H69" s="21">
        <v>0.98738786139455792</v>
      </c>
      <c r="I69" s="21">
        <v>0.98408854166666693</v>
      </c>
      <c r="J69" s="21">
        <v>0.97950520833333354</v>
      </c>
      <c r="K69" s="20">
        <v>0.98866071428571434</v>
      </c>
      <c r="L69" s="21">
        <v>0.98476934523809523</v>
      </c>
      <c r="M69" s="21">
        <v>0.98274925595238094</v>
      </c>
      <c r="N69" s="21">
        <v>0.98733630952380935</v>
      </c>
      <c r="P69">
        <f t="shared" si="16"/>
        <v>0</v>
      </c>
      <c r="Q69">
        <f t="shared" si="15"/>
        <v>0</v>
      </c>
      <c r="R69">
        <f t="shared" si="15"/>
        <v>0</v>
      </c>
      <c r="S69">
        <f t="shared" si="15"/>
        <v>0</v>
      </c>
      <c r="T69">
        <f t="shared" si="15"/>
        <v>0</v>
      </c>
      <c r="U69">
        <f t="shared" si="15"/>
        <v>0</v>
      </c>
      <c r="V69">
        <f t="shared" si="15"/>
        <v>0</v>
      </c>
      <c r="W69">
        <f t="shared" si="15"/>
        <v>0</v>
      </c>
      <c r="X69">
        <f t="shared" si="15"/>
        <v>1</v>
      </c>
      <c r="Y69">
        <f t="shared" si="15"/>
        <v>0</v>
      </c>
      <c r="Z69">
        <f t="shared" si="15"/>
        <v>0</v>
      </c>
      <c r="AA69">
        <f t="shared" si="15"/>
        <v>0</v>
      </c>
    </row>
    <row r="70" spans="2:27" x14ac:dyDescent="0.25">
      <c r="B70" s="19" t="s">
        <v>85</v>
      </c>
      <c r="C70" s="21">
        <v>0.94322407280219767</v>
      </c>
      <c r="D70" s="21">
        <v>0.93619453983516487</v>
      </c>
      <c r="E70" s="21">
        <v>0.94300240384615386</v>
      </c>
      <c r="F70" s="21">
        <v>0.9412161744505495</v>
      </c>
      <c r="G70" s="21">
        <v>0.94739663461538481</v>
      </c>
      <c r="H70" s="21">
        <v>0.94083361950549449</v>
      </c>
      <c r="I70" s="21">
        <v>0.94352214972527482</v>
      </c>
      <c r="J70" s="21">
        <v>0.94549896978021974</v>
      </c>
      <c r="K70" s="20">
        <v>0.94772802197802197</v>
      </c>
      <c r="L70" s="21">
        <v>0.94078142170329671</v>
      </c>
      <c r="M70" s="21">
        <v>0.94413873626373623</v>
      </c>
      <c r="N70" s="21">
        <v>0.94623420329670327</v>
      </c>
      <c r="P70">
        <f t="shared" si="16"/>
        <v>0</v>
      </c>
      <c r="Q70">
        <f t="shared" si="15"/>
        <v>0</v>
      </c>
      <c r="R70">
        <f t="shared" si="15"/>
        <v>0</v>
      </c>
      <c r="S70">
        <f t="shared" si="15"/>
        <v>0</v>
      </c>
      <c r="T70">
        <f t="shared" si="15"/>
        <v>0</v>
      </c>
      <c r="U70">
        <f t="shared" si="15"/>
        <v>0</v>
      </c>
      <c r="V70">
        <f t="shared" si="15"/>
        <v>0</v>
      </c>
      <c r="W70">
        <f t="shared" si="15"/>
        <v>0</v>
      </c>
      <c r="X70">
        <f t="shared" si="15"/>
        <v>1</v>
      </c>
      <c r="Y70">
        <f t="shared" si="15"/>
        <v>0</v>
      </c>
      <c r="Z70">
        <f t="shared" si="15"/>
        <v>0</v>
      </c>
      <c r="AA70">
        <f t="shared" si="15"/>
        <v>0</v>
      </c>
    </row>
    <row r="71" spans="2:27" x14ac:dyDescent="0.25">
      <c r="B71" s="19" t="s">
        <v>87</v>
      </c>
      <c r="C71" s="21">
        <v>0.91591338259441724</v>
      </c>
      <c r="D71" s="21">
        <v>0.92330151888341538</v>
      </c>
      <c r="E71" s="21">
        <v>0.91680418719211809</v>
      </c>
      <c r="F71" s="21">
        <v>0.92229782430213458</v>
      </c>
      <c r="G71" s="20">
        <v>0.93369458128078819</v>
      </c>
      <c r="H71" s="21">
        <v>0.92621895525451559</v>
      </c>
      <c r="I71" s="21">
        <v>0.92448070607553345</v>
      </c>
      <c r="J71" s="21">
        <v>0.92124127668308708</v>
      </c>
      <c r="K71" s="21">
        <v>0.91760519293924458</v>
      </c>
      <c r="L71" s="21">
        <v>0.90184010673234816</v>
      </c>
      <c r="M71" s="21">
        <v>0.92697352216748785</v>
      </c>
      <c r="N71" s="21">
        <v>0.93291820607553344</v>
      </c>
      <c r="P71">
        <f t="shared" si="16"/>
        <v>0</v>
      </c>
      <c r="Q71">
        <f t="shared" si="15"/>
        <v>0</v>
      </c>
      <c r="R71">
        <f t="shared" si="15"/>
        <v>0</v>
      </c>
      <c r="S71">
        <f t="shared" si="15"/>
        <v>0</v>
      </c>
      <c r="T71">
        <f t="shared" si="15"/>
        <v>1</v>
      </c>
      <c r="U71">
        <f t="shared" si="15"/>
        <v>0</v>
      </c>
      <c r="V71">
        <f t="shared" si="15"/>
        <v>0</v>
      </c>
      <c r="W71">
        <f t="shared" si="15"/>
        <v>0</v>
      </c>
      <c r="X71">
        <f t="shared" si="15"/>
        <v>0</v>
      </c>
      <c r="Y71">
        <f t="shared" si="15"/>
        <v>0</v>
      </c>
      <c r="Z71">
        <f t="shared" si="15"/>
        <v>0</v>
      </c>
      <c r="AA71">
        <f t="shared" si="15"/>
        <v>0</v>
      </c>
    </row>
    <row r="72" spans="2:27" x14ac:dyDescent="0.25">
      <c r="B72" s="19" t="s">
        <v>88</v>
      </c>
      <c r="C72" s="21">
        <v>0.89681171594982079</v>
      </c>
      <c r="D72" s="21">
        <v>0.89251736111111113</v>
      </c>
      <c r="E72" s="21">
        <v>0.90170978942652324</v>
      </c>
      <c r="F72" s="21">
        <v>0.89692596326164864</v>
      </c>
      <c r="G72" s="21">
        <v>0.91638160842293903</v>
      </c>
      <c r="H72" s="21">
        <v>0.90767305107526897</v>
      </c>
      <c r="I72" s="21">
        <v>0.89546987007168455</v>
      </c>
      <c r="J72" s="21">
        <v>0.89357470878136203</v>
      </c>
      <c r="K72" s="21">
        <v>0.90739807347670254</v>
      </c>
      <c r="L72" s="21">
        <v>0.9056742831541218</v>
      </c>
      <c r="M72" s="21">
        <v>0.89875784050179219</v>
      </c>
      <c r="N72" s="20">
        <v>0.9214695340501794</v>
      </c>
      <c r="P72">
        <f t="shared" si="16"/>
        <v>0</v>
      </c>
      <c r="Q72">
        <f t="shared" si="15"/>
        <v>0</v>
      </c>
      <c r="R72">
        <f t="shared" si="15"/>
        <v>0</v>
      </c>
      <c r="S72">
        <f t="shared" si="15"/>
        <v>0</v>
      </c>
      <c r="T72">
        <f t="shared" si="15"/>
        <v>0</v>
      </c>
      <c r="U72">
        <f t="shared" si="15"/>
        <v>0</v>
      </c>
      <c r="V72">
        <f t="shared" si="15"/>
        <v>0</v>
      </c>
      <c r="W72">
        <f t="shared" si="15"/>
        <v>0</v>
      </c>
      <c r="X72">
        <f t="shared" si="15"/>
        <v>0</v>
      </c>
      <c r="Y72">
        <f t="shared" si="15"/>
        <v>0</v>
      </c>
      <c r="Z72">
        <f t="shared" si="15"/>
        <v>0</v>
      </c>
      <c r="AA72">
        <f t="shared" si="15"/>
        <v>1</v>
      </c>
    </row>
    <row r="73" spans="2:27" x14ac:dyDescent="0.25">
      <c r="B73" s="19" t="s">
        <v>90</v>
      </c>
      <c r="C73" s="21">
        <v>0.93732988911290316</v>
      </c>
      <c r="D73" s="21">
        <v>0.94358618951612905</v>
      </c>
      <c r="E73" s="21">
        <v>0.94663558467741937</v>
      </c>
      <c r="F73" s="21">
        <v>0.95419606854838701</v>
      </c>
      <c r="G73" s="21">
        <v>0.95717615927419375</v>
      </c>
      <c r="H73" s="20">
        <v>0.9575006300403226</v>
      </c>
      <c r="I73" s="21">
        <v>0.94561176915322576</v>
      </c>
      <c r="J73" s="21">
        <v>0.94414377520161297</v>
      </c>
      <c r="K73" s="21">
        <v>0.93611706149193563</v>
      </c>
      <c r="L73" s="21">
        <v>0.93599105342741939</v>
      </c>
      <c r="M73" s="21">
        <v>0.94846585181451615</v>
      </c>
      <c r="N73" s="21">
        <v>0.95372983870967754</v>
      </c>
      <c r="P73">
        <f t="shared" si="16"/>
        <v>0</v>
      </c>
      <c r="Q73">
        <f t="shared" si="15"/>
        <v>0</v>
      </c>
      <c r="R73">
        <f t="shared" si="15"/>
        <v>0</v>
      </c>
      <c r="S73">
        <f t="shared" si="15"/>
        <v>0</v>
      </c>
      <c r="T73">
        <f t="shared" si="15"/>
        <v>0</v>
      </c>
      <c r="U73">
        <f t="shared" si="15"/>
        <v>1</v>
      </c>
      <c r="V73">
        <f t="shared" si="15"/>
        <v>0</v>
      </c>
      <c r="W73">
        <f t="shared" si="15"/>
        <v>0</v>
      </c>
      <c r="X73">
        <f t="shared" si="15"/>
        <v>0</v>
      </c>
      <c r="Y73">
        <f t="shared" si="15"/>
        <v>0</v>
      </c>
      <c r="Z73">
        <f t="shared" si="15"/>
        <v>0</v>
      </c>
      <c r="AA73">
        <f t="shared" si="15"/>
        <v>0</v>
      </c>
    </row>
    <row r="74" spans="2:27" x14ac:dyDescent="0.25">
      <c r="B74" s="19" t="s">
        <v>92</v>
      </c>
      <c r="C74" s="21">
        <v>0.92585140176852132</v>
      </c>
      <c r="D74" s="20">
        <v>0.93861656911928648</v>
      </c>
      <c r="E74" s="21">
        <v>0.93242452746528837</v>
      </c>
      <c r="F74" s="21">
        <v>0.92936199896118388</v>
      </c>
      <c r="G74" s="21">
        <v>0.93459590681058091</v>
      </c>
      <c r="H74" s="21">
        <v>0.92840259830748961</v>
      </c>
      <c r="I74" s="21">
        <v>0.92653122466301818</v>
      </c>
      <c r="J74" s="21">
        <v>0.92587729299685817</v>
      </c>
      <c r="K74" s="21">
        <v>0.92927656582547891</v>
      </c>
      <c r="L74" s="21">
        <v>0.93003936733556314</v>
      </c>
      <c r="M74" s="21">
        <v>0.92893388314583958</v>
      </c>
      <c r="N74" s="21">
        <v>0.93309081091010437</v>
      </c>
      <c r="P74">
        <f t="shared" si="16"/>
        <v>0</v>
      </c>
      <c r="Q74">
        <f t="shared" si="15"/>
        <v>1</v>
      </c>
      <c r="R74">
        <f t="shared" si="15"/>
        <v>0</v>
      </c>
      <c r="S74">
        <f t="shared" si="15"/>
        <v>0</v>
      </c>
      <c r="T74">
        <f t="shared" si="15"/>
        <v>0</v>
      </c>
      <c r="U74">
        <f t="shared" si="15"/>
        <v>0</v>
      </c>
      <c r="V74">
        <f t="shared" si="15"/>
        <v>0</v>
      </c>
      <c r="W74">
        <f t="shared" si="15"/>
        <v>0</v>
      </c>
      <c r="X74">
        <f t="shared" si="15"/>
        <v>0</v>
      </c>
      <c r="Y74">
        <f t="shared" si="15"/>
        <v>0</v>
      </c>
      <c r="Z74">
        <f t="shared" si="15"/>
        <v>0</v>
      </c>
      <c r="AA74">
        <f t="shared" si="15"/>
        <v>0</v>
      </c>
    </row>
    <row r="75" spans="2:27" x14ac:dyDescent="0.25">
      <c r="B75" s="19" t="s">
        <v>94</v>
      </c>
      <c r="C75" s="21">
        <v>0.8784722222222221</v>
      </c>
      <c r="D75" s="21">
        <v>0.87517203282828271</v>
      </c>
      <c r="E75" s="21">
        <v>0.88095328282828289</v>
      </c>
      <c r="F75" s="21">
        <v>0.8707654671717171</v>
      </c>
      <c r="G75" s="21">
        <v>0.8690751262626264</v>
      </c>
      <c r="H75" s="20">
        <v>0.88446022727272722</v>
      </c>
      <c r="I75" s="21">
        <v>0.86962436868686865</v>
      </c>
      <c r="J75" s="21">
        <v>0.87762626262626264</v>
      </c>
      <c r="K75" s="21">
        <v>0.87523989898989896</v>
      </c>
      <c r="L75" s="21">
        <v>0.87055555555555564</v>
      </c>
      <c r="M75" s="21">
        <v>0.8713683712121213</v>
      </c>
      <c r="N75" s="21">
        <v>0.87685290404040384</v>
      </c>
      <c r="P75">
        <f t="shared" si="16"/>
        <v>0</v>
      </c>
      <c r="Q75">
        <f t="shared" si="15"/>
        <v>0</v>
      </c>
      <c r="R75">
        <f t="shared" si="15"/>
        <v>0</v>
      </c>
      <c r="S75">
        <f t="shared" si="15"/>
        <v>0</v>
      </c>
      <c r="T75">
        <f t="shared" si="15"/>
        <v>0</v>
      </c>
      <c r="U75">
        <f t="shared" si="15"/>
        <v>1</v>
      </c>
      <c r="V75">
        <f t="shared" si="15"/>
        <v>0</v>
      </c>
      <c r="W75">
        <f t="shared" si="15"/>
        <v>0</v>
      </c>
      <c r="X75">
        <f t="shared" si="15"/>
        <v>0</v>
      </c>
      <c r="Y75">
        <f t="shared" si="15"/>
        <v>0</v>
      </c>
      <c r="Z75">
        <f t="shared" si="15"/>
        <v>0</v>
      </c>
      <c r="AA75">
        <f t="shared" si="15"/>
        <v>0</v>
      </c>
    </row>
    <row r="76" spans="2:27" x14ac:dyDescent="0.25">
      <c r="B76" s="19" t="s">
        <v>96</v>
      </c>
      <c r="C76" s="21">
        <v>0.98341594841219637</v>
      </c>
      <c r="D76" s="21">
        <v>0.98342570217611336</v>
      </c>
      <c r="E76" s="21">
        <v>0.98198498782262145</v>
      </c>
      <c r="F76" s="21">
        <v>0.98347943288208484</v>
      </c>
      <c r="G76" s="21">
        <v>0.98265151742788459</v>
      </c>
      <c r="H76" s="20">
        <v>0.98683539189018243</v>
      </c>
      <c r="I76" s="21">
        <v>0.98210431031756074</v>
      </c>
      <c r="J76" s="21">
        <v>0.9813911271191802</v>
      </c>
      <c r="K76" s="21">
        <v>0.98250546795926108</v>
      </c>
      <c r="L76" s="21">
        <v>0.98337089211158923</v>
      </c>
      <c r="M76" s="21">
        <v>0.97882334893724698</v>
      </c>
      <c r="N76" s="21">
        <v>0.98529198032641707</v>
      </c>
      <c r="P76">
        <f t="shared" si="16"/>
        <v>0</v>
      </c>
      <c r="Q76">
        <f t="shared" si="16"/>
        <v>0</v>
      </c>
      <c r="R76">
        <f t="shared" si="16"/>
        <v>0</v>
      </c>
      <c r="S76">
        <f t="shared" si="16"/>
        <v>0</v>
      </c>
      <c r="T76">
        <f t="shared" si="16"/>
        <v>0</v>
      </c>
      <c r="U76">
        <f t="shared" si="16"/>
        <v>1</v>
      </c>
      <c r="V76">
        <f t="shared" si="16"/>
        <v>0</v>
      </c>
      <c r="W76">
        <f t="shared" si="16"/>
        <v>0</v>
      </c>
      <c r="X76">
        <f t="shared" si="16"/>
        <v>0</v>
      </c>
      <c r="Y76">
        <f t="shared" si="16"/>
        <v>0</v>
      </c>
      <c r="Z76">
        <f t="shared" si="16"/>
        <v>0</v>
      </c>
      <c r="AA76">
        <f t="shared" si="16"/>
        <v>0</v>
      </c>
    </row>
    <row r="77" spans="2:27" x14ac:dyDescent="0.25">
      <c r="B77" s="19" t="s">
        <v>98</v>
      </c>
      <c r="C77" s="21">
        <v>0.84939506085099392</v>
      </c>
      <c r="D77" s="21">
        <v>0.84902154776866756</v>
      </c>
      <c r="E77" s="21">
        <v>0.85298797651188196</v>
      </c>
      <c r="F77" s="21">
        <v>0.85428855152357464</v>
      </c>
      <c r="G77" s="21">
        <v>0.84914124374089817</v>
      </c>
      <c r="H77" s="21">
        <v>0.85565012091509796</v>
      </c>
      <c r="I77" s="21">
        <v>0.85115762213976509</v>
      </c>
      <c r="J77" s="21">
        <v>0.85138150140310287</v>
      </c>
      <c r="K77" s="21">
        <v>0.84733224138466068</v>
      </c>
      <c r="L77" s="21">
        <v>0.85232061605189458</v>
      </c>
      <c r="M77" s="21">
        <v>0.85717326947885708</v>
      </c>
      <c r="N77" s="20">
        <v>0.857962005672259</v>
      </c>
      <c r="P77">
        <f t="shared" si="16"/>
        <v>0</v>
      </c>
      <c r="Q77">
        <f t="shared" si="16"/>
        <v>0</v>
      </c>
      <c r="R77">
        <f t="shared" si="16"/>
        <v>0</v>
      </c>
      <c r="S77">
        <f t="shared" si="16"/>
        <v>0</v>
      </c>
      <c r="T77">
        <f t="shared" si="16"/>
        <v>0</v>
      </c>
      <c r="U77">
        <f t="shared" si="16"/>
        <v>0</v>
      </c>
      <c r="V77">
        <f t="shared" si="16"/>
        <v>0</v>
      </c>
      <c r="W77">
        <f t="shared" si="16"/>
        <v>0</v>
      </c>
      <c r="X77">
        <f t="shared" si="16"/>
        <v>0</v>
      </c>
      <c r="Y77">
        <f t="shared" si="16"/>
        <v>0</v>
      </c>
      <c r="Z77">
        <f t="shared" si="16"/>
        <v>0</v>
      </c>
      <c r="AA77">
        <f t="shared" si="16"/>
        <v>1</v>
      </c>
    </row>
    <row r="78" spans="2:27" x14ac:dyDescent="0.25">
      <c r="B78" s="19" t="s">
        <v>100</v>
      </c>
      <c r="C78" s="20">
        <v>0.87888834341519184</v>
      </c>
      <c r="D78" s="21">
        <v>0.87773086703984604</v>
      </c>
      <c r="E78" s="21">
        <v>0.87801409014987353</v>
      </c>
      <c r="F78" s="21">
        <v>0.87737757877392564</v>
      </c>
      <c r="G78" s="21">
        <v>0.87782009901288061</v>
      </c>
      <c r="H78" s="21">
        <v>0.87724235772541226</v>
      </c>
      <c r="I78" s="21">
        <v>0.87770796654929595</v>
      </c>
      <c r="J78" s="21">
        <v>0.87661258953292387</v>
      </c>
      <c r="K78" s="21">
        <v>0.87656886699470338</v>
      </c>
      <c r="L78" s="21">
        <v>0.87588330060491149</v>
      </c>
      <c r="M78" s="21">
        <v>0.87748593994522683</v>
      </c>
      <c r="N78" s="21">
        <v>0.87709731815035508</v>
      </c>
      <c r="P78">
        <f t="shared" si="16"/>
        <v>1</v>
      </c>
      <c r="Q78">
        <f t="shared" si="16"/>
        <v>0</v>
      </c>
      <c r="R78">
        <f t="shared" si="16"/>
        <v>0</v>
      </c>
      <c r="S78">
        <f t="shared" si="16"/>
        <v>0</v>
      </c>
      <c r="T78">
        <f t="shared" si="16"/>
        <v>0</v>
      </c>
      <c r="U78">
        <f t="shared" si="16"/>
        <v>0</v>
      </c>
      <c r="V78">
        <f t="shared" si="16"/>
        <v>0</v>
      </c>
      <c r="W78">
        <f t="shared" si="16"/>
        <v>0</v>
      </c>
      <c r="X78">
        <f t="shared" si="16"/>
        <v>0</v>
      </c>
      <c r="Y78">
        <f t="shared" si="16"/>
        <v>0</v>
      </c>
      <c r="Z78">
        <f t="shared" si="16"/>
        <v>0</v>
      </c>
      <c r="AA78">
        <f t="shared" si="16"/>
        <v>0</v>
      </c>
    </row>
    <row r="79" spans="2:27" x14ac:dyDescent="0.25">
      <c r="B79" s="19" t="s">
        <v>102</v>
      </c>
      <c r="C79" s="21">
        <v>0.92690972222222212</v>
      </c>
      <c r="D79" s="21">
        <v>0.92621527777777768</v>
      </c>
      <c r="E79" s="21">
        <v>0.92552083333333324</v>
      </c>
      <c r="F79" s="20">
        <v>0.94062500000000004</v>
      </c>
      <c r="G79" s="21">
        <v>0.9302083333333333</v>
      </c>
      <c r="H79" s="21">
        <v>0.93159722222222197</v>
      </c>
      <c r="I79" s="21">
        <v>0.92690972222222212</v>
      </c>
      <c r="J79" s="21">
        <v>0.92656249999999996</v>
      </c>
      <c r="K79" s="21">
        <v>0.91857638888888871</v>
      </c>
      <c r="L79" s="21">
        <v>0.91597222222222208</v>
      </c>
      <c r="M79" s="21">
        <v>0.91076388888888893</v>
      </c>
      <c r="N79" s="21">
        <v>0.93871527777777775</v>
      </c>
      <c r="P79">
        <f t="shared" si="16"/>
        <v>0</v>
      </c>
      <c r="Q79">
        <f t="shared" si="16"/>
        <v>0</v>
      </c>
      <c r="R79">
        <f t="shared" si="16"/>
        <v>0</v>
      </c>
      <c r="S79">
        <f t="shared" si="16"/>
        <v>1</v>
      </c>
      <c r="T79">
        <f t="shared" si="16"/>
        <v>0</v>
      </c>
      <c r="U79">
        <f t="shared" si="16"/>
        <v>0</v>
      </c>
      <c r="V79">
        <f t="shared" si="16"/>
        <v>0</v>
      </c>
      <c r="W79">
        <f t="shared" si="16"/>
        <v>0</v>
      </c>
      <c r="X79">
        <f t="shared" si="16"/>
        <v>0</v>
      </c>
      <c r="Y79">
        <f t="shared" si="16"/>
        <v>0</v>
      </c>
      <c r="Z79">
        <f t="shared" si="16"/>
        <v>0</v>
      </c>
      <c r="AA79">
        <f t="shared" si="16"/>
        <v>0</v>
      </c>
    </row>
    <row r="80" spans="2:27" x14ac:dyDescent="0.25">
      <c r="B80" s="19" t="s">
        <v>104</v>
      </c>
      <c r="C80" s="21">
        <v>0.96150706005690034</v>
      </c>
      <c r="D80" s="21">
        <v>0.96987862366203303</v>
      </c>
      <c r="E80" s="21">
        <v>0.97082382172547532</v>
      </c>
      <c r="F80" s="21">
        <v>0.96977415814715306</v>
      </c>
      <c r="G80" s="21">
        <v>0.96235353930729317</v>
      </c>
      <c r="H80" s="21">
        <v>0.97111379132519204</v>
      </c>
      <c r="I80" s="21">
        <v>0.96601989466983496</v>
      </c>
      <c r="J80" s="21">
        <v>0.9667225710193037</v>
      </c>
      <c r="K80" s="21">
        <v>0.97051899080952531</v>
      </c>
      <c r="L80" s="21">
        <v>0.97085618227041159</v>
      </c>
      <c r="M80" s="21">
        <v>0.96691393210755483</v>
      </c>
      <c r="N80" s="20">
        <v>0.97227544874972405</v>
      </c>
      <c r="P80">
        <f t="shared" si="16"/>
        <v>0</v>
      </c>
      <c r="Q80">
        <f t="shared" si="16"/>
        <v>0</v>
      </c>
      <c r="R80">
        <f t="shared" si="16"/>
        <v>0</v>
      </c>
      <c r="S80">
        <f t="shared" si="16"/>
        <v>0</v>
      </c>
      <c r="T80">
        <f t="shared" si="16"/>
        <v>0</v>
      </c>
      <c r="U80">
        <f t="shared" si="16"/>
        <v>0</v>
      </c>
      <c r="V80">
        <f t="shared" si="16"/>
        <v>0</v>
      </c>
      <c r="W80">
        <f t="shared" si="16"/>
        <v>0</v>
      </c>
      <c r="X80">
        <f t="shared" si="16"/>
        <v>0</v>
      </c>
      <c r="Y80">
        <f t="shared" si="16"/>
        <v>0</v>
      </c>
      <c r="Z80">
        <f t="shared" si="16"/>
        <v>0</v>
      </c>
      <c r="AA80">
        <f t="shared" si="16"/>
        <v>1</v>
      </c>
    </row>
    <row r="81" spans="2:27" x14ac:dyDescent="0.25">
      <c r="B81" s="19" t="s">
        <v>106</v>
      </c>
      <c r="C81" s="21">
        <v>0.96804286379005278</v>
      </c>
      <c r="D81" s="21">
        <v>0.96844022388341577</v>
      </c>
      <c r="E81" s="21">
        <v>0.96830615454600777</v>
      </c>
      <c r="F81" s="20">
        <v>0.97078595810173873</v>
      </c>
      <c r="G81" s="21">
        <v>0.97073336736025584</v>
      </c>
      <c r="H81" s="21">
        <v>0.97068208236754117</v>
      </c>
      <c r="I81" s="21">
        <v>0.96830821277103007</v>
      </c>
      <c r="J81" s="21">
        <v>0.96338861106703744</v>
      </c>
      <c r="K81" s="21">
        <v>0.96221852248753825</v>
      </c>
      <c r="L81" s="21">
        <v>0.97002924664719847</v>
      </c>
      <c r="M81" s="21">
        <v>0.96945291259946442</v>
      </c>
      <c r="N81" s="21">
        <v>0.96645091496999069</v>
      </c>
      <c r="P81">
        <f t="shared" si="16"/>
        <v>0</v>
      </c>
      <c r="Q81">
        <f t="shared" si="16"/>
        <v>0</v>
      </c>
      <c r="R81">
        <f t="shared" si="16"/>
        <v>0</v>
      </c>
      <c r="S81">
        <f t="shared" si="16"/>
        <v>1</v>
      </c>
      <c r="T81">
        <f t="shared" si="16"/>
        <v>0</v>
      </c>
      <c r="U81">
        <f t="shared" si="16"/>
        <v>0</v>
      </c>
      <c r="V81">
        <f t="shared" si="16"/>
        <v>0</v>
      </c>
      <c r="W81">
        <f t="shared" si="16"/>
        <v>0</v>
      </c>
      <c r="X81">
        <f t="shared" si="16"/>
        <v>0</v>
      </c>
      <c r="Y81">
        <f t="shared" si="16"/>
        <v>0</v>
      </c>
      <c r="Z81">
        <f t="shared" si="16"/>
        <v>0</v>
      </c>
      <c r="AA81">
        <f t="shared" si="16"/>
        <v>0</v>
      </c>
    </row>
    <row r="82" spans="2:27" x14ac:dyDescent="0.25">
      <c r="B82" s="19" t="s">
        <v>108</v>
      </c>
      <c r="C82" s="21">
        <v>0.99402283603828545</v>
      </c>
      <c r="D82" s="21">
        <v>0.99369624774587317</v>
      </c>
      <c r="E82" s="21">
        <v>0.99091951033430437</v>
      </c>
      <c r="F82" s="21">
        <v>0.99446369121930911</v>
      </c>
      <c r="G82" s="21">
        <v>0.98974892495491751</v>
      </c>
      <c r="H82" s="21">
        <v>0.9934515015952281</v>
      </c>
      <c r="I82" s="21">
        <v>0.99334902552365101</v>
      </c>
      <c r="J82" s="21">
        <v>0.98883270911360799</v>
      </c>
      <c r="K82" s="20">
        <v>0.99466370162297124</v>
      </c>
      <c r="L82" s="21">
        <v>0.99323579900124837</v>
      </c>
      <c r="M82" s="21">
        <v>0.99305122069635188</v>
      </c>
      <c r="N82" s="21">
        <v>0.99378311832431687</v>
      </c>
      <c r="P82">
        <f t="shared" si="16"/>
        <v>0</v>
      </c>
      <c r="Q82">
        <f t="shared" si="16"/>
        <v>0</v>
      </c>
      <c r="R82">
        <f t="shared" si="16"/>
        <v>0</v>
      </c>
      <c r="S82">
        <f t="shared" si="16"/>
        <v>0</v>
      </c>
      <c r="T82">
        <f t="shared" si="16"/>
        <v>0</v>
      </c>
      <c r="U82">
        <f t="shared" si="16"/>
        <v>0</v>
      </c>
      <c r="V82">
        <f t="shared" si="16"/>
        <v>0</v>
      </c>
      <c r="W82">
        <f t="shared" si="16"/>
        <v>0</v>
      </c>
      <c r="X82">
        <f t="shared" si="16"/>
        <v>1</v>
      </c>
      <c r="Y82">
        <f t="shared" si="16"/>
        <v>0</v>
      </c>
      <c r="Z82">
        <f t="shared" si="16"/>
        <v>0</v>
      </c>
      <c r="AA82">
        <f t="shared" si="16"/>
        <v>0</v>
      </c>
    </row>
    <row r="83" spans="2:27" x14ac:dyDescent="0.25">
      <c r="B83" s="19" t="s">
        <v>110</v>
      </c>
      <c r="C83" s="21">
        <v>0.9505787037037039</v>
      </c>
      <c r="D83" s="21">
        <v>0.94146604938271605</v>
      </c>
      <c r="E83" s="21">
        <v>0.95867283950617277</v>
      </c>
      <c r="F83" s="20">
        <v>0.96179012345679027</v>
      </c>
      <c r="G83" s="21">
        <v>0.96147376543209873</v>
      </c>
      <c r="H83" s="21">
        <v>0.96006172839506176</v>
      </c>
      <c r="I83" s="21">
        <v>0.95431327160493806</v>
      </c>
      <c r="J83" s="21">
        <v>0.94718364197530847</v>
      </c>
      <c r="K83" s="21">
        <v>0.95245370370370375</v>
      </c>
      <c r="L83" s="21">
        <v>0.94790895061728375</v>
      </c>
      <c r="M83" s="21">
        <v>0.95138117283950629</v>
      </c>
      <c r="N83" s="21">
        <v>0.95980709876543213</v>
      </c>
      <c r="P83">
        <f t="shared" si="16"/>
        <v>0</v>
      </c>
      <c r="Q83">
        <f t="shared" si="16"/>
        <v>0</v>
      </c>
      <c r="R83">
        <f t="shared" si="16"/>
        <v>0</v>
      </c>
      <c r="S83">
        <f t="shared" si="16"/>
        <v>1</v>
      </c>
      <c r="T83">
        <f t="shared" si="16"/>
        <v>0</v>
      </c>
      <c r="U83">
        <f t="shared" si="16"/>
        <v>0</v>
      </c>
      <c r="V83">
        <f t="shared" si="16"/>
        <v>0</v>
      </c>
      <c r="W83">
        <f t="shared" si="16"/>
        <v>0</v>
      </c>
      <c r="X83">
        <f t="shared" si="16"/>
        <v>0</v>
      </c>
      <c r="Y83">
        <f t="shared" si="16"/>
        <v>0</v>
      </c>
      <c r="Z83">
        <f t="shared" si="16"/>
        <v>0</v>
      </c>
      <c r="AA83">
        <f t="shared" si="16"/>
        <v>0</v>
      </c>
    </row>
    <row r="84" spans="2:27" x14ac:dyDescent="0.25">
      <c r="B84" s="19" t="s">
        <v>112</v>
      </c>
      <c r="C84" s="21">
        <v>0.80754349816849802</v>
      </c>
      <c r="D84" s="21">
        <v>0.81931898573038697</v>
      </c>
      <c r="E84" s="21">
        <v>0.82840854315098822</v>
      </c>
      <c r="F84" s="21">
        <v>0.82271896258503419</v>
      </c>
      <c r="G84" s="21">
        <v>0.8287292132089521</v>
      </c>
      <c r="H84" s="21">
        <v>0.8301106071126676</v>
      </c>
      <c r="I84" s="21">
        <v>0.83120397345328656</v>
      </c>
      <c r="J84" s="21">
        <v>0.7968996296743549</v>
      </c>
      <c r="K84" s="21">
        <v>0.83271513857022095</v>
      </c>
      <c r="L84" s="20">
        <v>0.83738270715090768</v>
      </c>
      <c r="M84" s="21">
        <v>0.82856171129694489</v>
      </c>
      <c r="N84" s="21">
        <v>0.8291118788491727</v>
      </c>
      <c r="P84">
        <f t="shared" si="16"/>
        <v>0</v>
      </c>
      <c r="Q84">
        <f t="shared" si="16"/>
        <v>0</v>
      </c>
      <c r="R84">
        <f t="shared" si="16"/>
        <v>0</v>
      </c>
      <c r="S84">
        <f t="shared" si="16"/>
        <v>0</v>
      </c>
      <c r="T84">
        <f t="shared" si="16"/>
        <v>0</v>
      </c>
      <c r="U84">
        <f t="shared" si="16"/>
        <v>0</v>
      </c>
      <c r="V84">
        <f t="shared" si="16"/>
        <v>0</v>
      </c>
      <c r="W84">
        <f t="shared" si="16"/>
        <v>0</v>
      </c>
      <c r="X84">
        <f t="shared" si="16"/>
        <v>0</v>
      </c>
      <c r="Y84">
        <f t="shared" si="16"/>
        <v>1</v>
      </c>
      <c r="Z84">
        <f t="shared" si="16"/>
        <v>0</v>
      </c>
      <c r="AA84">
        <f t="shared" si="16"/>
        <v>0</v>
      </c>
    </row>
    <row r="85" spans="2:27" x14ac:dyDescent="0.25">
      <c r="B85" s="19" t="s">
        <v>114</v>
      </c>
      <c r="C85" s="21">
        <v>0.82419688126900914</v>
      </c>
      <c r="D85" s="21">
        <v>0.83095918672749625</v>
      </c>
      <c r="E85" s="21">
        <v>0.8395189971203002</v>
      </c>
      <c r="F85" s="21">
        <v>0.83961964909726272</v>
      </c>
      <c r="G85" s="21">
        <v>0.83436845191872122</v>
      </c>
      <c r="H85" s="21">
        <v>0.84052021047693004</v>
      </c>
      <c r="I85" s="21">
        <v>0.8368266861612631</v>
      </c>
      <c r="J85" s="21">
        <v>0.82387121230505389</v>
      </c>
      <c r="K85" s="21">
        <v>0.84231340597295001</v>
      </c>
      <c r="L85" s="20">
        <v>0.84354318336245382</v>
      </c>
      <c r="M85" s="21">
        <v>0.8321613319420178</v>
      </c>
      <c r="N85" s="21">
        <v>0.84027808718371833</v>
      </c>
      <c r="P85">
        <f t="shared" si="16"/>
        <v>0</v>
      </c>
      <c r="Q85">
        <f t="shared" si="16"/>
        <v>0</v>
      </c>
      <c r="R85">
        <f t="shared" si="16"/>
        <v>0</v>
      </c>
      <c r="S85">
        <f t="shared" si="16"/>
        <v>0</v>
      </c>
      <c r="T85">
        <f t="shared" si="16"/>
        <v>0</v>
      </c>
      <c r="U85">
        <f t="shared" si="16"/>
        <v>0</v>
      </c>
      <c r="V85">
        <f t="shared" si="16"/>
        <v>0</v>
      </c>
      <c r="W85">
        <f t="shared" si="16"/>
        <v>0</v>
      </c>
      <c r="X85">
        <f t="shared" si="16"/>
        <v>0</v>
      </c>
      <c r="Y85">
        <f t="shared" si="16"/>
        <v>1</v>
      </c>
      <c r="Z85">
        <f t="shared" si="16"/>
        <v>0</v>
      </c>
      <c r="AA85">
        <f t="shared" si="16"/>
        <v>0</v>
      </c>
    </row>
    <row r="86" spans="2:27" x14ac:dyDescent="0.25">
      <c r="B86" s="19" t="s">
        <v>116</v>
      </c>
      <c r="C86" s="21">
        <v>0.68701455065846073</v>
      </c>
      <c r="D86" s="21">
        <v>0.6877873320759712</v>
      </c>
      <c r="E86" s="20">
        <v>0.68825735391436704</v>
      </c>
      <c r="F86" s="21">
        <v>0.68309323506055197</v>
      </c>
      <c r="G86" s="21">
        <v>0.67478132651710687</v>
      </c>
      <c r="H86" s="21">
        <v>0.68453088809476514</v>
      </c>
      <c r="I86" s="21">
        <v>0.68813281715306729</v>
      </c>
      <c r="J86" s="21">
        <v>0.68311118556018802</v>
      </c>
      <c r="K86" s="21">
        <v>0.67946847495202178</v>
      </c>
      <c r="L86" s="21">
        <v>0.67933153001125002</v>
      </c>
      <c r="M86" s="21">
        <v>0.68508503738998072</v>
      </c>
      <c r="N86" s="21">
        <v>0.6875193981205745</v>
      </c>
      <c r="P86">
        <f t="shared" si="16"/>
        <v>0</v>
      </c>
      <c r="Q86">
        <f t="shared" si="16"/>
        <v>0</v>
      </c>
      <c r="R86">
        <f t="shared" si="16"/>
        <v>1</v>
      </c>
      <c r="S86">
        <f t="shared" si="16"/>
        <v>0</v>
      </c>
      <c r="T86">
        <f t="shared" si="16"/>
        <v>0</v>
      </c>
      <c r="U86">
        <f t="shared" si="16"/>
        <v>0</v>
      </c>
      <c r="V86">
        <f t="shared" si="16"/>
        <v>0</v>
      </c>
      <c r="W86">
        <f t="shared" si="16"/>
        <v>0</v>
      </c>
      <c r="X86">
        <f t="shared" si="16"/>
        <v>0</v>
      </c>
      <c r="Y86">
        <f t="shared" si="16"/>
        <v>0</v>
      </c>
      <c r="Z86">
        <f t="shared" si="16"/>
        <v>0</v>
      </c>
      <c r="AA86">
        <f t="shared" si="16"/>
        <v>0</v>
      </c>
    </row>
    <row r="87" spans="2:27" x14ac:dyDescent="0.25">
      <c r="B87" s="19" t="s">
        <v>118</v>
      </c>
      <c r="C87" s="21">
        <v>0.6656905136268344</v>
      </c>
      <c r="D87" s="21">
        <v>0.66679441823899366</v>
      </c>
      <c r="E87" s="21">
        <v>0.68434879454926623</v>
      </c>
      <c r="F87" s="21">
        <v>0.6811812106918238</v>
      </c>
      <c r="G87" s="21">
        <v>0.65812368972746316</v>
      </c>
      <c r="H87" s="21">
        <v>0.68483687106918234</v>
      </c>
      <c r="I87" s="21">
        <v>0.67519981656184502</v>
      </c>
      <c r="J87" s="21">
        <v>0.68231459643605863</v>
      </c>
      <c r="K87" s="21">
        <v>0.66965736373165607</v>
      </c>
      <c r="L87" s="20">
        <v>0.72038456498951797</v>
      </c>
      <c r="M87" s="21">
        <v>0.69762513102725365</v>
      </c>
      <c r="N87" s="21">
        <v>0.6900550314465409</v>
      </c>
      <c r="P87">
        <f t="shared" si="16"/>
        <v>0</v>
      </c>
      <c r="Q87">
        <f t="shared" si="16"/>
        <v>0</v>
      </c>
      <c r="R87">
        <f t="shared" si="16"/>
        <v>0</v>
      </c>
      <c r="S87">
        <f t="shared" si="16"/>
        <v>0</v>
      </c>
      <c r="T87">
        <f t="shared" si="16"/>
        <v>0</v>
      </c>
      <c r="U87">
        <f t="shared" si="16"/>
        <v>0</v>
      </c>
      <c r="V87">
        <f t="shared" si="16"/>
        <v>0</v>
      </c>
      <c r="W87">
        <f t="shared" si="16"/>
        <v>0</v>
      </c>
      <c r="X87">
        <f t="shared" si="16"/>
        <v>0</v>
      </c>
      <c r="Y87">
        <f t="shared" si="16"/>
        <v>1</v>
      </c>
      <c r="Z87">
        <f t="shared" si="16"/>
        <v>0</v>
      </c>
      <c r="AA87">
        <f t="shared" si="16"/>
        <v>0</v>
      </c>
    </row>
    <row r="88" spans="2:27" x14ac:dyDescent="0.25">
      <c r="B88" s="19" t="s">
        <v>120</v>
      </c>
      <c r="C88" s="21">
        <v>0.87926065162907274</v>
      </c>
      <c r="D88" s="21">
        <v>0.87505874060150379</v>
      </c>
      <c r="E88" s="21">
        <v>0.87660557644110271</v>
      </c>
      <c r="F88" s="21">
        <v>0.8951891447368423</v>
      </c>
      <c r="G88" s="21">
        <v>0.88425556077694234</v>
      </c>
      <c r="H88" s="21">
        <v>0.87954652255639099</v>
      </c>
      <c r="I88" s="21">
        <v>0.88411262531328316</v>
      </c>
      <c r="J88" s="21">
        <v>0.8677357456140351</v>
      </c>
      <c r="K88" s="21">
        <v>0.88780740914786971</v>
      </c>
      <c r="L88" s="21">
        <v>0.86971726190476195</v>
      </c>
      <c r="M88" s="21">
        <v>0.89248316102756897</v>
      </c>
      <c r="N88" s="20">
        <v>0.89935189536340865</v>
      </c>
      <c r="P88">
        <f t="shared" si="16"/>
        <v>0</v>
      </c>
      <c r="Q88">
        <f t="shared" si="16"/>
        <v>0</v>
      </c>
      <c r="R88">
        <f t="shared" si="16"/>
        <v>0</v>
      </c>
      <c r="S88">
        <f t="shared" si="16"/>
        <v>0</v>
      </c>
      <c r="T88">
        <f t="shared" si="16"/>
        <v>0</v>
      </c>
      <c r="U88">
        <f t="shared" si="16"/>
        <v>0</v>
      </c>
      <c r="V88">
        <f t="shared" si="16"/>
        <v>0</v>
      </c>
      <c r="W88">
        <f t="shared" si="16"/>
        <v>0</v>
      </c>
      <c r="X88">
        <f t="shared" si="16"/>
        <v>0</v>
      </c>
      <c r="Y88">
        <f t="shared" si="16"/>
        <v>0</v>
      </c>
      <c r="Z88">
        <f t="shared" si="16"/>
        <v>0</v>
      </c>
      <c r="AA88">
        <f t="shared" si="16"/>
        <v>1</v>
      </c>
    </row>
    <row r="89" spans="2:27" x14ac:dyDescent="0.25">
      <c r="B89" s="19" t="s">
        <v>122</v>
      </c>
      <c r="C89" s="20">
        <v>1</v>
      </c>
      <c r="D89" s="21">
        <v>0.99968112244897966</v>
      </c>
      <c r="E89" s="21">
        <v>0.99987244897959182</v>
      </c>
      <c r="F89" s="20">
        <v>1</v>
      </c>
      <c r="G89" s="20">
        <v>1</v>
      </c>
      <c r="H89" s="21">
        <v>0.99935958758503396</v>
      </c>
      <c r="I89" s="20">
        <v>1</v>
      </c>
      <c r="J89" s="20">
        <v>1</v>
      </c>
      <c r="K89" s="20">
        <v>1</v>
      </c>
      <c r="L89" s="20">
        <v>1</v>
      </c>
      <c r="M89" s="21">
        <v>0.99987244897959182</v>
      </c>
      <c r="N89" s="20">
        <v>1</v>
      </c>
      <c r="P89">
        <f t="shared" si="16"/>
        <v>1</v>
      </c>
      <c r="Q89">
        <f t="shared" si="16"/>
        <v>0</v>
      </c>
      <c r="R89">
        <f t="shared" si="16"/>
        <v>0</v>
      </c>
      <c r="S89">
        <f t="shared" si="16"/>
        <v>1</v>
      </c>
      <c r="T89">
        <f t="shared" si="16"/>
        <v>1</v>
      </c>
      <c r="U89">
        <f t="shared" si="16"/>
        <v>0</v>
      </c>
      <c r="V89">
        <f t="shared" si="16"/>
        <v>1</v>
      </c>
      <c r="W89">
        <f t="shared" si="16"/>
        <v>1</v>
      </c>
      <c r="X89">
        <f t="shared" si="16"/>
        <v>1</v>
      </c>
      <c r="Y89">
        <f t="shared" si="16"/>
        <v>1</v>
      </c>
      <c r="Z89">
        <f t="shared" si="16"/>
        <v>0</v>
      </c>
      <c r="AA89">
        <f t="shared" si="16"/>
        <v>1</v>
      </c>
    </row>
    <row r="90" spans="2:27" x14ac:dyDescent="0.25">
      <c r="B90" s="19" t="s">
        <v>124</v>
      </c>
      <c r="C90" s="21">
        <v>0.68881807422928421</v>
      </c>
      <c r="D90" s="21">
        <v>0.68602617595987825</v>
      </c>
      <c r="E90" s="21">
        <v>0.72703570926216954</v>
      </c>
      <c r="F90" s="21">
        <v>0.72800100159090453</v>
      </c>
      <c r="G90" s="21">
        <v>0.69484769391575973</v>
      </c>
      <c r="H90" s="21">
        <v>0.72317116897541855</v>
      </c>
      <c r="I90" s="21">
        <v>0.70479983339153696</v>
      </c>
      <c r="J90" s="21">
        <v>0.70688345774401939</v>
      </c>
      <c r="K90" s="20">
        <v>0.73180389432124637</v>
      </c>
      <c r="L90" s="21">
        <v>0.71763231670643957</v>
      </c>
      <c r="M90" s="21">
        <v>0.67949793740178122</v>
      </c>
      <c r="N90" s="21">
        <v>0.7161514354519527</v>
      </c>
      <c r="P90">
        <f t="shared" si="16"/>
        <v>0</v>
      </c>
      <c r="Q90">
        <f t="shared" si="16"/>
        <v>0</v>
      </c>
      <c r="R90">
        <f t="shared" si="16"/>
        <v>0</v>
      </c>
      <c r="S90">
        <f t="shared" si="16"/>
        <v>0</v>
      </c>
      <c r="T90">
        <f t="shared" si="16"/>
        <v>0</v>
      </c>
      <c r="U90">
        <f t="shared" si="16"/>
        <v>0</v>
      </c>
      <c r="V90">
        <f t="shared" si="16"/>
        <v>0</v>
      </c>
      <c r="W90">
        <f t="shared" si="16"/>
        <v>0</v>
      </c>
      <c r="X90">
        <f t="shared" si="16"/>
        <v>1</v>
      </c>
      <c r="Y90">
        <f t="shared" si="16"/>
        <v>0</v>
      </c>
      <c r="Z90">
        <f t="shared" si="16"/>
        <v>0</v>
      </c>
      <c r="AA90">
        <f t="shared" si="16"/>
        <v>0</v>
      </c>
    </row>
    <row r="91" spans="2:27" x14ac:dyDescent="0.25">
      <c r="B91" s="19" t="s">
        <v>126</v>
      </c>
      <c r="C91" s="21">
        <v>0.81419816975703307</v>
      </c>
      <c r="D91" s="21">
        <v>0.81244145620204611</v>
      </c>
      <c r="E91" s="21">
        <v>0.83592484548167101</v>
      </c>
      <c r="F91" s="21">
        <v>0.82498747868712685</v>
      </c>
      <c r="G91" s="21">
        <v>0.80198629315856773</v>
      </c>
      <c r="H91" s="21">
        <v>0.82781136775362318</v>
      </c>
      <c r="I91" s="21">
        <v>0.80607683290707599</v>
      </c>
      <c r="J91" s="21">
        <v>0.83823116474850812</v>
      </c>
      <c r="K91" s="21">
        <v>0.83280524030264269</v>
      </c>
      <c r="L91" s="20">
        <v>0.84669750372975283</v>
      </c>
      <c r="M91" s="21">
        <v>0.83693813938618922</v>
      </c>
      <c r="N91" s="21">
        <v>0.84238684196504687</v>
      </c>
      <c r="P91">
        <f t="shared" si="16"/>
        <v>0</v>
      </c>
      <c r="Q91">
        <f t="shared" si="16"/>
        <v>0</v>
      </c>
      <c r="R91">
        <f t="shared" si="16"/>
        <v>0</v>
      </c>
      <c r="S91">
        <f t="shared" si="16"/>
        <v>0</v>
      </c>
      <c r="T91">
        <f t="shared" si="16"/>
        <v>0</v>
      </c>
      <c r="U91">
        <f t="shared" si="16"/>
        <v>0</v>
      </c>
      <c r="V91">
        <f t="shared" si="16"/>
        <v>0</v>
      </c>
      <c r="W91">
        <f t="shared" si="16"/>
        <v>0</v>
      </c>
      <c r="X91">
        <f t="shared" si="16"/>
        <v>0</v>
      </c>
      <c r="Y91">
        <f t="shared" si="16"/>
        <v>1</v>
      </c>
      <c r="Z91">
        <f t="shared" si="16"/>
        <v>0</v>
      </c>
      <c r="AA91">
        <f t="shared" si="16"/>
        <v>0</v>
      </c>
    </row>
    <row r="92" spans="2:27" x14ac:dyDescent="0.25">
      <c r="B92" s="19" t="s">
        <v>128</v>
      </c>
      <c r="C92" s="21">
        <v>0.95122549019607838</v>
      </c>
      <c r="D92" s="21">
        <v>0.95107230392156861</v>
      </c>
      <c r="E92" s="21">
        <v>0.94886182598039215</v>
      </c>
      <c r="F92" s="21">
        <v>0.95057444852941164</v>
      </c>
      <c r="G92" s="21">
        <v>0.95592524509803922</v>
      </c>
      <c r="H92" s="21">
        <v>0.9523636642156863</v>
      </c>
      <c r="I92" s="21">
        <v>0.9544087009803921</v>
      </c>
      <c r="J92" s="21">
        <v>0.9436519607843139</v>
      </c>
      <c r="K92" s="21">
        <v>0.94593596813725489</v>
      </c>
      <c r="L92" s="21">
        <v>0.95067555147058824</v>
      </c>
      <c r="M92" s="21">
        <v>0.94806678921568632</v>
      </c>
      <c r="N92" s="20">
        <v>0.95818780637254908</v>
      </c>
      <c r="P92">
        <f t="shared" si="16"/>
        <v>0</v>
      </c>
      <c r="Q92">
        <f t="shared" si="16"/>
        <v>0</v>
      </c>
      <c r="R92">
        <f t="shared" si="16"/>
        <v>0</v>
      </c>
      <c r="S92">
        <f t="shared" si="16"/>
        <v>0</v>
      </c>
      <c r="T92">
        <f t="shared" si="16"/>
        <v>0</v>
      </c>
      <c r="U92">
        <f t="shared" si="16"/>
        <v>0</v>
      </c>
      <c r="V92">
        <f t="shared" si="16"/>
        <v>0</v>
      </c>
      <c r="W92">
        <f t="shared" si="16"/>
        <v>0</v>
      </c>
      <c r="X92">
        <f t="shared" si="16"/>
        <v>0</v>
      </c>
      <c r="Y92">
        <f t="shared" si="16"/>
        <v>0</v>
      </c>
      <c r="Z92">
        <f t="shared" si="16"/>
        <v>0</v>
      </c>
      <c r="AA92">
        <f t="shared" si="16"/>
        <v>1</v>
      </c>
    </row>
    <row r="93" spans="2:27" x14ac:dyDescent="0.25">
      <c r="B93" s="19" t="s">
        <v>130</v>
      </c>
      <c r="C93" s="21">
        <v>0.84392431972789128</v>
      </c>
      <c r="D93" s="21">
        <v>0.83963010204081656</v>
      </c>
      <c r="E93" s="21">
        <v>0.84238945578231283</v>
      </c>
      <c r="F93" s="21">
        <v>0.84712585034013599</v>
      </c>
      <c r="G93" s="21">
        <v>0.84074829931972783</v>
      </c>
      <c r="H93" s="21">
        <v>0.84107993197278907</v>
      </c>
      <c r="I93" s="21">
        <v>0.84173894557823126</v>
      </c>
      <c r="J93" s="21">
        <v>0.83470663265306144</v>
      </c>
      <c r="K93" s="21">
        <v>0.84453656462585047</v>
      </c>
      <c r="L93" s="21">
        <v>0.84504251700680277</v>
      </c>
      <c r="M93" s="21">
        <v>0.8476955782312926</v>
      </c>
      <c r="N93" s="20">
        <v>0.8482865646258505</v>
      </c>
      <c r="P93">
        <f t="shared" si="16"/>
        <v>0</v>
      </c>
      <c r="Q93">
        <f t="shared" si="16"/>
        <v>0</v>
      </c>
      <c r="R93">
        <f t="shared" si="16"/>
        <v>0</v>
      </c>
      <c r="S93">
        <f t="shared" si="16"/>
        <v>0</v>
      </c>
      <c r="T93">
        <f t="shared" si="16"/>
        <v>0</v>
      </c>
      <c r="U93">
        <f t="shared" si="16"/>
        <v>0</v>
      </c>
      <c r="V93">
        <f t="shared" si="16"/>
        <v>0</v>
      </c>
      <c r="W93">
        <f t="shared" si="16"/>
        <v>0</v>
      </c>
      <c r="X93">
        <f t="shared" si="16"/>
        <v>0</v>
      </c>
      <c r="Y93">
        <f t="shared" si="16"/>
        <v>0</v>
      </c>
      <c r="Z93">
        <f t="shared" si="16"/>
        <v>0</v>
      </c>
      <c r="AA93">
        <f t="shared" si="16"/>
        <v>1</v>
      </c>
    </row>
    <row r="94" spans="2:27" x14ac:dyDescent="0.25">
      <c r="B94" s="19" t="s">
        <v>132</v>
      </c>
      <c r="C94" s="21">
        <v>0.80727224784144425</v>
      </c>
      <c r="D94" s="21">
        <v>0.79379721840659334</v>
      </c>
      <c r="E94" s="21">
        <v>0.80581583594976436</v>
      </c>
      <c r="F94" s="20">
        <v>0.80793207908163267</v>
      </c>
      <c r="G94" s="21">
        <v>0.79095675529827314</v>
      </c>
      <c r="H94" s="21">
        <v>0.79728279532967028</v>
      </c>
      <c r="I94" s="21">
        <v>0.78970148155416009</v>
      </c>
      <c r="J94" s="21">
        <v>0.79645923273155417</v>
      </c>
      <c r="K94" s="21">
        <v>0.80693987931711153</v>
      </c>
      <c r="L94" s="21">
        <v>0.79929724293563575</v>
      </c>
      <c r="M94" s="21">
        <v>0.80715450843799064</v>
      </c>
      <c r="N94" s="21">
        <v>0.80001287774725272</v>
      </c>
      <c r="P94">
        <f t="shared" si="16"/>
        <v>0</v>
      </c>
      <c r="Q94">
        <f t="shared" si="16"/>
        <v>0</v>
      </c>
      <c r="R94">
        <f t="shared" si="16"/>
        <v>0</v>
      </c>
      <c r="S94">
        <f t="shared" si="16"/>
        <v>1</v>
      </c>
      <c r="T94">
        <f t="shared" si="16"/>
        <v>0</v>
      </c>
      <c r="U94">
        <f t="shared" si="16"/>
        <v>0</v>
      </c>
      <c r="V94">
        <f t="shared" si="16"/>
        <v>0</v>
      </c>
      <c r="W94">
        <f t="shared" si="16"/>
        <v>0</v>
      </c>
      <c r="X94">
        <f t="shared" si="16"/>
        <v>0</v>
      </c>
      <c r="Y94">
        <f t="shared" si="16"/>
        <v>0</v>
      </c>
      <c r="Z94">
        <f t="shared" si="16"/>
        <v>0</v>
      </c>
      <c r="AA94">
        <f t="shared" si="16"/>
        <v>0</v>
      </c>
    </row>
    <row r="95" spans="2:27" x14ac:dyDescent="0.25">
      <c r="B95" s="19" t="s">
        <v>134</v>
      </c>
      <c r="C95" s="21">
        <v>0.6438733552631577</v>
      </c>
      <c r="D95" s="21">
        <v>0.69246710526315791</v>
      </c>
      <c r="E95" s="21">
        <v>0.72114309210526306</v>
      </c>
      <c r="F95" s="21">
        <v>0.68882401315789477</v>
      </c>
      <c r="G95" s="21">
        <v>0.7131167763157894</v>
      </c>
      <c r="H95" s="21">
        <v>0.70519736842105263</v>
      </c>
      <c r="I95" s="20">
        <v>0.73681743421052626</v>
      </c>
      <c r="J95" s="21">
        <v>0.64981085526315785</v>
      </c>
      <c r="K95" s="21">
        <v>0.70177631578947364</v>
      </c>
      <c r="L95" s="21">
        <v>0.69509868421052623</v>
      </c>
      <c r="M95" s="21">
        <v>0.68337993421052645</v>
      </c>
      <c r="N95" s="21">
        <v>0.70903782894736844</v>
      </c>
      <c r="P95">
        <f t="shared" si="16"/>
        <v>0</v>
      </c>
      <c r="Q95">
        <f t="shared" si="16"/>
        <v>0</v>
      </c>
      <c r="R95">
        <f t="shared" si="16"/>
        <v>0</v>
      </c>
      <c r="S95">
        <f t="shared" si="16"/>
        <v>0</v>
      </c>
      <c r="T95">
        <f t="shared" si="16"/>
        <v>0</v>
      </c>
      <c r="U95">
        <f t="shared" si="16"/>
        <v>0</v>
      </c>
      <c r="V95">
        <f t="shared" si="16"/>
        <v>1</v>
      </c>
      <c r="W95">
        <f t="shared" si="16"/>
        <v>0</v>
      </c>
      <c r="X95">
        <f t="shared" si="16"/>
        <v>0</v>
      </c>
      <c r="Y95">
        <f t="shared" si="16"/>
        <v>0</v>
      </c>
      <c r="Z95">
        <f t="shared" si="16"/>
        <v>0</v>
      </c>
      <c r="AA95">
        <f t="shared" si="16"/>
        <v>0</v>
      </c>
    </row>
    <row r="96" spans="2:27" x14ac:dyDescent="0.25">
      <c r="B96" s="19" t="s">
        <v>136</v>
      </c>
      <c r="C96" s="21">
        <v>0.86081845238095234</v>
      </c>
      <c r="D96" s="21">
        <v>0.91881696428571424</v>
      </c>
      <c r="E96" s="21">
        <v>0.8967559523809524</v>
      </c>
      <c r="F96" s="21">
        <v>0.932544642857143</v>
      </c>
      <c r="G96" s="21">
        <v>0.93268601190476197</v>
      </c>
      <c r="H96" s="20">
        <v>0.94409970238095253</v>
      </c>
      <c r="I96" s="21">
        <v>0.91302083333333328</v>
      </c>
      <c r="J96" s="21">
        <v>0.90098214285714295</v>
      </c>
      <c r="K96" s="21">
        <v>0.93319196428571427</v>
      </c>
      <c r="L96" s="21">
        <v>0.89431547619047613</v>
      </c>
      <c r="M96" s="21">
        <v>0.90629464285714301</v>
      </c>
      <c r="N96" s="21">
        <v>0.93211309523809527</v>
      </c>
      <c r="P96">
        <f t="shared" ref="P96:AA111" si="17">IF(C96=MAX($C96:$N96),1,0)</f>
        <v>0</v>
      </c>
      <c r="Q96">
        <f t="shared" si="17"/>
        <v>0</v>
      </c>
      <c r="R96">
        <f t="shared" si="17"/>
        <v>0</v>
      </c>
      <c r="S96">
        <f t="shared" si="17"/>
        <v>0</v>
      </c>
      <c r="T96">
        <f t="shared" si="17"/>
        <v>0</v>
      </c>
      <c r="U96">
        <f t="shared" si="17"/>
        <v>1</v>
      </c>
      <c r="V96">
        <f t="shared" si="17"/>
        <v>0</v>
      </c>
      <c r="W96">
        <f t="shared" si="17"/>
        <v>0</v>
      </c>
      <c r="X96">
        <f t="shared" si="17"/>
        <v>0</v>
      </c>
      <c r="Y96">
        <f t="shared" si="17"/>
        <v>0</v>
      </c>
      <c r="Z96">
        <f t="shared" si="17"/>
        <v>0</v>
      </c>
      <c r="AA96">
        <f t="shared" si="17"/>
        <v>0</v>
      </c>
    </row>
    <row r="97" spans="2:27" x14ac:dyDescent="0.25">
      <c r="B97" s="19" t="s">
        <v>138</v>
      </c>
      <c r="C97" s="21">
        <v>0.6966649745182355</v>
      </c>
      <c r="D97" s="21">
        <v>0.70928292721770991</v>
      </c>
      <c r="E97" s="21">
        <v>0.72474717311673831</v>
      </c>
      <c r="F97" s="21">
        <v>0.71864635590858417</v>
      </c>
      <c r="G97" s="21">
        <v>0.72413202739289684</v>
      </c>
      <c r="H97" s="21">
        <v>0.73465072065615544</v>
      </c>
      <c r="I97" s="21">
        <v>0.70401586637999669</v>
      </c>
      <c r="J97" s="21">
        <v>0.73699534161490687</v>
      </c>
      <c r="K97" s="21">
        <v>0.74016886645962743</v>
      </c>
      <c r="L97" s="20">
        <v>0.7516700011944577</v>
      </c>
      <c r="M97" s="21">
        <v>0.7198441730371079</v>
      </c>
      <c r="N97" s="21">
        <v>0.73635506250995386</v>
      </c>
      <c r="P97">
        <f t="shared" si="17"/>
        <v>0</v>
      </c>
      <c r="Q97">
        <f t="shared" si="17"/>
        <v>0</v>
      </c>
      <c r="R97">
        <f t="shared" si="17"/>
        <v>0</v>
      </c>
      <c r="S97">
        <f t="shared" si="17"/>
        <v>0</v>
      </c>
      <c r="T97">
        <f t="shared" si="17"/>
        <v>0</v>
      </c>
      <c r="U97">
        <f t="shared" si="17"/>
        <v>0</v>
      </c>
      <c r="V97">
        <f t="shared" si="17"/>
        <v>0</v>
      </c>
      <c r="W97">
        <f t="shared" si="17"/>
        <v>0</v>
      </c>
      <c r="X97">
        <f t="shared" si="17"/>
        <v>0</v>
      </c>
      <c r="Y97">
        <f t="shared" si="17"/>
        <v>1</v>
      </c>
      <c r="Z97">
        <f t="shared" si="17"/>
        <v>0</v>
      </c>
      <c r="AA97">
        <f t="shared" si="17"/>
        <v>0</v>
      </c>
    </row>
    <row r="98" spans="2:27" x14ac:dyDescent="0.25">
      <c r="B98" s="19" t="s">
        <v>140</v>
      </c>
      <c r="C98" s="21">
        <v>0.63251969320066326</v>
      </c>
      <c r="D98" s="21">
        <v>0.65252760817126498</v>
      </c>
      <c r="E98" s="21">
        <v>0.66830572516206865</v>
      </c>
      <c r="F98" s="21">
        <v>0.66265170360319625</v>
      </c>
      <c r="G98" s="21">
        <v>0.6344795906829489</v>
      </c>
      <c r="H98" s="21">
        <v>0.64957692597617989</v>
      </c>
      <c r="I98" s="21">
        <v>0.65855900422131752</v>
      </c>
      <c r="J98" s="21">
        <v>0.66086942183024266</v>
      </c>
      <c r="K98" s="21">
        <v>0.63772849766319917</v>
      </c>
      <c r="L98" s="21">
        <v>0.63004673601688521</v>
      </c>
      <c r="M98" s="21">
        <v>0.65534590306045526</v>
      </c>
      <c r="N98" s="20">
        <v>0.67336565279662286</v>
      </c>
      <c r="P98">
        <f t="shared" si="17"/>
        <v>0</v>
      </c>
      <c r="Q98">
        <f t="shared" si="17"/>
        <v>0</v>
      </c>
      <c r="R98">
        <f t="shared" si="17"/>
        <v>0</v>
      </c>
      <c r="S98">
        <f t="shared" si="17"/>
        <v>0</v>
      </c>
      <c r="T98">
        <f t="shared" si="17"/>
        <v>0</v>
      </c>
      <c r="U98">
        <f t="shared" si="17"/>
        <v>0</v>
      </c>
      <c r="V98">
        <f t="shared" si="17"/>
        <v>0</v>
      </c>
      <c r="W98">
        <f t="shared" si="17"/>
        <v>0</v>
      </c>
      <c r="X98">
        <f t="shared" si="17"/>
        <v>0</v>
      </c>
      <c r="Y98">
        <f t="shared" si="17"/>
        <v>0</v>
      </c>
      <c r="Z98">
        <f t="shared" si="17"/>
        <v>0</v>
      </c>
      <c r="AA98">
        <f t="shared" si="17"/>
        <v>1</v>
      </c>
    </row>
    <row r="99" spans="2:27" x14ac:dyDescent="0.25">
      <c r="B99" s="19" t="s">
        <v>142</v>
      </c>
      <c r="C99" s="21">
        <v>0.75267753623188405</v>
      </c>
      <c r="D99" s="21">
        <v>0.74383574879227043</v>
      </c>
      <c r="E99" s="21">
        <v>0.75755917874396139</v>
      </c>
      <c r="F99" s="20">
        <v>0.76568236714975868</v>
      </c>
      <c r="G99" s="21">
        <v>0.75459118357487953</v>
      </c>
      <c r="H99" s="21">
        <v>0.76290338164251204</v>
      </c>
      <c r="I99" s="21">
        <v>0.73987016908212555</v>
      </c>
      <c r="J99" s="21">
        <v>0.75045772946859912</v>
      </c>
      <c r="K99" s="21">
        <v>0.73579257246376795</v>
      </c>
      <c r="L99" s="21">
        <v>0.7643592995169084</v>
      </c>
      <c r="M99" s="21">
        <v>0.74731038647342984</v>
      </c>
      <c r="N99" s="21">
        <v>0.75678562801932359</v>
      </c>
      <c r="P99">
        <f t="shared" si="17"/>
        <v>0</v>
      </c>
      <c r="Q99">
        <f t="shared" si="17"/>
        <v>0</v>
      </c>
      <c r="R99">
        <f t="shared" si="17"/>
        <v>0</v>
      </c>
      <c r="S99">
        <f t="shared" si="17"/>
        <v>1</v>
      </c>
      <c r="T99">
        <f t="shared" si="17"/>
        <v>0</v>
      </c>
      <c r="U99">
        <f t="shared" si="17"/>
        <v>0</v>
      </c>
      <c r="V99">
        <f t="shared" si="17"/>
        <v>0</v>
      </c>
      <c r="W99">
        <f t="shared" si="17"/>
        <v>0</v>
      </c>
      <c r="X99">
        <f t="shared" si="17"/>
        <v>0</v>
      </c>
      <c r="Y99">
        <f t="shared" si="17"/>
        <v>0</v>
      </c>
      <c r="Z99">
        <f t="shared" si="17"/>
        <v>0</v>
      </c>
      <c r="AA99">
        <f t="shared" si="17"/>
        <v>0</v>
      </c>
    </row>
    <row r="100" spans="2:27" x14ac:dyDescent="0.25">
      <c r="B100" s="19" t="s">
        <v>144</v>
      </c>
      <c r="C100" s="21">
        <v>0.85469673700142446</v>
      </c>
      <c r="D100" s="21">
        <v>0.84764163064944309</v>
      </c>
      <c r="E100" s="21">
        <v>0.87781888395169649</v>
      </c>
      <c r="F100" s="20">
        <v>0.88886047979797966</v>
      </c>
      <c r="G100" s="21">
        <v>0.8883559048012174</v>
      </c>
      <c r="H100" s="21">
        <v>0.87184220004532487</v>
      </c>
      <c r="I100" s="21">
        <v>0.8466551431785807</v>
      </c>
      <c r="J100" s="21">
        <v>0.86344647395428631</v>
      </c>
      <c r="K100" s="21">
        <v>0.87828002581908826</v>
      </c>
      <c r="L100" s="21">
        <v>0.88576370677933181</v>
      </c>
      <c r="M100" s="21">
        <v>0.86464235706423209</v>
      </c>
      <c r="N100" s="21">
        <v>0.88862470862470877</v>
      </c>
      <c r="P100">
        <f t="shared" si="17"/>
        <v>0</v>
      </c>
      <c r="Q100">
        <f t="shared" si="17"/>
        <v>0</v>
      </c>
      <c r="R100">
        <f t="shared" si="17"/>
        <v>0</v>
      </c>
      <c r="S100">
        <f t="shared" si="17"/>
        <v>1</v>
      </c>
      <c r="T100">
        <f t="shared" si="17"/>
        <v>0</v>
      </c>
      <c r="U100">
        <f t="shared" si="17"/>
        <v>0</v>
      </c>
      <c r="V100">
        <f t="shared" si="17"/>
        <v>0</v>
      </c>
      <c r="W100">
        <f t="shared" si="17"/>
        <v>0</v>
      </c>
      <c r="X100">
        <f t="shared" si="17"/>
        <v>0</v>
      </c>
      <c r="Y100">
        <f t="shared" si="17"/>
        <v>0</v>
      </c>
      <c r="Z100">
        <f t="shared" si="17"/>
        <v>0</v>
      </c>
      <c r="AA100">
        <f t="shared" si="17"/>
        <v>0</v>
      </c>
    </row>
    <row r="101" spans="2:27" x14ac:dyDescent="0.25">
      <c r="B101" s="19" t="s">
        <v>146</v>
      </c>
      <c r="C101" s="21">
        <v>0.95887586805555547</v>
      </c>
      <c r="D101" s="21">
        <v>0.96427951388888888</v>
      </c>
      <c r="E101" s="21">
        <v>0.97688585069444422</v>
      </c>
      <c r="F101" s="21">
        <v>0.97716579861111097</v>
      </c>
      <c r="G101" s="21">
        <v>0.98570312500000012</v>
      </c>
      <c r="H101" s="20">
        <v>0.98810763888888875</v>
      </c>
      <c r="I101" s="21">
        <v>0.97734157986111103</v>
      </c>
      <c r="J101" s="21">
        <v>0.95970269097222216</v>
      </c>
      <c r="K101" s="21">
        <v>0.96933593750000013</v>
      </c>
      <c r="L101" s="21">
        <v>0.98453559027777793</v>
      </c>
      <c r="M101" s="21">
        <v>0.97898003472222239</v>
      </c>
      <c r="N101" s="21">
        <v>0.98411241319444454</v>
      </c>
      <c r="P101">
        <f t="shared" si="17"/>
        <v>0</v>
      </c>
      <c r="Q101">
        <f t="shared" si="17"/>
        <v>0</v>
      </c>
      <c r="R101">
        <f t="shared" si="17"/>
        <v>0</v>
      </c>
      <c r="S101">
        <f t="shared" si="17"/>
        <v>0</v>
      </c>
      <c r="T101">
        <f t="shared" si="17"/>
        <v>0</v>
      </c>
      <c r="U101">
        <f t="shared" si="17"/>
        <v>1</v>
      </c>
      <c r="V101">
        <f t="shared" si="17"/>
        <v>0</v>
      </c>
      <c r="W101">
        <f t="shared" si="17"/>
        <v>0</v>
      </c>
      <c r="X101">
        <f t="shared" si="17"/>
        <v>0</v>
      </c>
      <c r="Y101">
        <f t="shared" si="17"/>
        <v>0</v>
      </c>
      <c r="Z101">
        <f t="shared" si="17"/>
        <v>0</v>
      </c>
      <c r="AA101">
        <f t="shared" si="17"/>
        <v>0</v>
      </c>
    </row>
    <row r="102" spans="2:27" x14ac:dyDescent="0.25">
      <c r="B102" s="19" t="s">
        <v>148</v>
      </c>
      <c r="C102" s="21">
        <v>0.8626489663154534</v>
      </c>
      <c r="D102" s="21">
        <v>0.8603691730523626</v>
      </c>
      <c r="E102" s="21">
        <v>0.88655701229246497</v>
      </c>
      <c r="F102" s="21">
        <v>0.90000498882503199</v>
      </c>
      <c r="G102" s="21">
        <v>0.89426734115581097</v>
      </c>
      <c r="H102" s="21">
        <v>0.90015355603448266</v>
      </c>
      <c r="I102" s="21">
        <v>0.8776958612707535</v>
      </c>
      <c r="J102" s="21">
        <v>0.87702835648148125</v>
      </c>
      <c r="K102" s="21">
        <v>0.87744212962962975</v>
      </c>
      <c r="L102" s="21">
        <v>0.91194923371647496</v>
      </c>
      <c r="M102" s="21">
        <v>0.88060823754789275</v>
      </c>
      <c r="N102" s="20">
        <v>0.92225923930395881</v>
      </c>
      <c r="P102">
        <f t="shared" si="17"/>
        <v>0</v>
      </c>
      <c r="Q102">
        <f t="shared" si="17"/>
        <v>0</v>
      </c>
      <c r="R102">
        <f t="shared" si="17"/>
        <v>0</v>
      </c>
      <c r="S102">
        <f t="shared" si="17"/>
        <v>0</v>
      </c>
      <c r="T102">
        <f t="shared" si="17"/>
        <v>0</v>
      </c>
      <c r="U102">
        <f t="shared" si="17"/>
        <v>0</v>
      </c>
      <c r="V102">
        <f t="shared" si="17"/>
        <v>0</v>
      </c>
      <c r="W102">
        <f t="shared" si="17"/>
        <v>0</v>
      </c>
      <c r="X102">
        <f t="shared" si="17"/>
        <v>0</v>
      </c>
      <c r="Y102">
        <f t="shared" si="17"/>
        <v>0</v>
      </c>
      <c r="Z102">
        <f t="shared" si="17"/>
        <v>0</v>
      </c>
      <c r="AA102">
        <f t="shared" si="17"/>
        <v>1</v>
      </c>
    </row>
    <row r="103" spans="2:27" x14ac:dyDescent="0.25">
      <c r="B103" s="19" t="s">
        <v>150</v>
      </c>
      <c r="C103" s="20">
        <v>0.93730881605691052</v>
      </c>
      <c r="D103" s="21">
        <v>0.92292905233739853</v>
      </c>
      <c r="E103" s="21">
        <v>0.92908790650406525</v>
      </c>
      <c r="F103" s="21">
        <v>0.92918349847560977</v>
      </c>
      <c r="G103" s="21">
        <v>0.92062817581300815</v>
      </c>
      <c r="H103" s="21">
        <v>0.93247618140243915</v>
      </c>
      <c r="I103" s="21">
        <v>0.93286617123983739</v>
      </c>
      <c r="J103" s="21">
        <v>0.93464843750000015</v>
      </c>
      <c r="K103" s="21">
        <v>0.92501683180894301</v>
      </c>
      <c r="L103" s="21">
        <v>0.9264240345528455</v>
      </c>
      <c r="M103" s="21">
        <v>0.93033568343495943</v>
      </c>
      <c r="N103" s="21">
        <v>0.92899199695121948</v>
      </c>
      <c r="P103">
        <f t="shared" si="17"/>
        <v>1</v>
      </c>
      <c r="Q103">
        <f t="shared" si="17"/>
        <v>0</v>
      </c>
      <c r="R103">
        <f t="shared" si="17"/>
        <v>0</v>
      </c>
      <c r="S103">
        <f t="shared" si="17"/>
        <v>0</v>
      </c>
      <c r="T103">
        <f t="shared" si="17"/>
        <v>0</v>
      </c>
      <c r="U103">
        <f t="shared" si="17"/>
        <v>0</v>
      </c>
      <c r="V103">
        <f t="shared" si="17"/>
        <v>0</v>
      </c>
      <c r="W103">
        <f t="shared" si="17"/>
        <v>0</v>
      </c>
      <c r="X103">
        <f t="shared" si="17"/>
        <v>0</v>
      </c>
      <c r="Y103">
        <f t="shared" si="17"/>
        <v>0</v>
      </c>
      <c r="Z103">
        <f t="shared" si="17"/>
        <v>0</v>
      </c>
      <c r="AA103">
        <f t="shared" si="17"/>
        <v>0</v>
      </c>
    </row>
    <row r="104" spans="2:27" x14ac:dyDescent="0.25">
      <c r="B104" s="19" t="s">
        <v>152</v>
      </c>
      <c r="C104" s="21">
        <v>0.73237108506738691</v>
      </c>
      <c r="D104" s="21">
        <v>0.80338263876721583</v>
      </c>
      <c r="E104" s="20">
        <v>0.8144219736087206</v>
      </c>
      <c r="F104" s="21">
        <v>0.790240323999162</v>
      </c>
      <c r="G104" s="21">
        <v>0.80086354292276041</v>
      </c>
      <c r="H104" s="21">
        <v>0.80594813492636075</v>
      </c>
      <c r="I104" s="21">
        <v>0.78707042670253291</v>
      </c>
      <c r="J104" s="21">
        <v>0.72716296108299749</v>
      </c>
      <c r="K104" s="21">
        <v>0.77520156008980323</v>
      </c>
      <c r="L104" s="21">
        <v>0.81301581432659642</v>
      </c>
      <c r="M104" s="21">
        <v>0.78273958752031225</v>
      </c>
      <c r="N104" s="21">
        <v>0.80251337900790498</v>
      </c>
      <c r="P104">
        <f t="shared" si="17"/>
        <v>0</v>
      </c>
      <c r="Q104">
        <f t="shared" si="17"/>
        <v>0</v>
      </c>
      <c r="R104">
        <f t="shared" si="17"/>
        <v>1</v>
      </c>
      <c r="S104">
        <f t="shared" si="17"/>
        <v>0</v>
      </c>
      <c r="T104">
        <f t="shared" si="17"/>
        <v>0</v>
      </c>
      <c r="U104">
        <f t="shared" si="17"/>
        <v>0</v>
      </c>
      <c r="V104">
        <f t="shared" si="17"/>
        <v>0</v>
      </c>
      <c r="W104">
        <f t="shared" si="17"/>
        <v>0</v>
      </c>
      <c r="X104">
        <f t="shared" si="17"/>
        <v>0</v>
      </c>
      <c r="Y104">
        <f t="shared" si="17"/>
        <v>0</v>
      </c>
      <c r="Z104">
        <f t="shared" si="17"/>
        <v>0</v>
      </c>
      <c r="AA104">
        <f t="shared" si="17"/>
        <v>0</v>
      </c>
    </row>
    <row r="105" spans="2:27" x14ac:dyDescent="0.25">
      <c r="B105" s="19" t="s">
        <v>154</v>
      </c>
      <c r="C105" s="21">
        <v>0.99326704545454536</v>
      </c>
      <c r="D105" s="21">
        <v>0.98529857397504461</v>
      </c>
      <c r="E105" s="21">
        <v>0.98824847027972029</v>
      </c>
      <c r="F105" s="20">
        <v>0.99678034587961062</v>
      </c>
      <c r="G105" s="21">
        <v>0.99676136363636358</v>
      </c>
      <c r="H105" s="21">
        <v>0.99458414747017687</v>
      </c>
      <c r="I105" s="21">
        <v>0.99437107928835866</v>
      </c>
      <c r="J105" s="21">
        <v>0.99017058309337724</v>
      </c>
      <c r="K105" s="21">
        <v>0.99462134066913477</v>
      </c>
      <c r="L105" s="21">
        <v>0.99017058309337713</v>
      </c>
      <c r="M105" s="21">
        <v>0.96906749194433006</v>
      </c>
      <c r="N105" s="21">
        <v>0.99666193181818186</v>
      </c>
      <c r="P105">
        <f t="shared" si="17"/>
        <v>0</v>
      </c>
      <c r="Q105">
        <f t="shared" si="17"/>
        <v>0</v>
      </c>
      <c r="R105">
        <f t="shared" si="17"/>
        <v>0</v>
      </c>
      <c r="S105">
        <f t="shared" si="17"/>
        <v>1</v>
      </c>
      <c r="T105">
        <f t="shared" si="17"/>
        <v>0</v>
      </c>
      <c r="U105">
        <f t="shared" si="17"/>
        <v>0</v>
      </c>
      <c r="V105">
        <f t="shared" si="17"/>
        <v>0</v>
      </c>
      <c r="W105">
        <f t="shared" si="17"/>
        <v>0</v>
      </c>
      <c r="X105">
        <f t="shared" si="17"/>
        <v>0</v>
      </c>
      <c r="Y105">
        <f t="shared" si="17"/>
        <v>0</v>
      </c>
      <c r="Z105">
        <f t="shared" si="17"/>
        <v>0</v>
      </c>
      <c r="AA105">
        <f t="shared" si="17"/>
        <v>0</v>
      </c>
    </row>
    <row r="106" spans="2:27" x14ac:dyDescent="0.25">
      <c r="B106" s="19" t="s">
        <v>156</v>
      </c>
      <c r="C106" s="21">
        <v>0.98204774848689325</v>
      </c>
      <c r="D106" s="20">
        <v>0.98674762874187227</v>
      </c>
      <c r="E106" s="21">
        <v>0.98141780916451959</v>
      </c>
      <c r="F106" s="21">
        <v>0.98231110127080523</v>
      </c>
      <c r="G106" s="21">
        <v>0.98509184711487352</v>
      </c>
      <c r="H106" s="21">
        <v>0.98200310928106971</v>
      </c>
      <c r="I106" s="21">
        <v>0.97632036777184794</v>
      </c>
      <c r="J106" s="21">
        <v>0.98051532531795704</v>
      </c>
      <c r="K106" s="21">
        <v>0.98089002691387561</v>
      </c>
      <c r="L106" s="21">
        <v>0.98530217726352587</v>
      </c>
      <c r="M106" s="21">
        <v>0.97797471169181693</v>
      </c>
      <c r="N106" s="21">
        <v>0.98205719581953121</v>
      </c>
      <c r="P106">
        <f t="shared" si="17"/>
        <v>0</v>
      </c>
      <c r="Q106">
        <f t="shared" si="17"/>
        <v>1</v>
      </c>
      <c r="R106">
        <f t="shared" si="17"/>
        <v>0</v>
      </c>
      <c r="S106">
        <f t="shared" si="17"/>
        <v>0</v>
      </c>
      <c r="T106">
        <f t="shared" si="17"/>
        <v>0</v>
      </c>
      <c r="U106">
        <f t="shared" si="17"/>
        <v>0</v>
      </c>
      <c r="V106">
        <f t="shared" si="17"/>
        <v>0</v>
      </c>
      <c r="W106">
        <f t="shared" si="17"/>
        <v>0</v>
      </c>
      <c r="X106">
        <f t="shared" si="17"/>
        <v>0</v>
      </c>
      <c r="Y106">
        <f t="shared" si="17"/>
        <v>0</v>
      </c>
      <c r="Z106">
        <f t="shared" si="17"/>
        <v>0</v>
      </c>
      <c r="AA106">
        <f t="shared" si="17"/>
        <v>0</v>
      </c>
    </row>
    <row r="107" spans="2:27" x14ac:dyDescent="0.25">
      <c r="B107" s="19" t="s">
        <v>158</v>
      </c>
      <c r="C107" s="21">
        <v>0.96013701458711531</v>
      </c>
      <c r="D107" s="21">
        <v>0.97748077258762733</v>
      </c>
      <c r="E107" s="21">
        <v>0.97172640430805757</v>
      </c>
      <c r="F107" s="21">
        <v>0.97450875037820617</v>
      </c>
      <c r="G107" s="21">
        <v>0.96644879672299033</v>
      </c>
      <c r="H107" s="21">
        <v>0.97823450882674656</v>
      </c>
      <c r="I107" s="21">
        <v>0.96536232500698227</v>
      </c>
      <c r="J107" s="21">
        <v>0.96933716630591638</v>
      </c>
      <c r="K107" s="20">
        <v>0.97903117654075322</v>
      </c>
      <c r="L107" s="21">
        <v>0.97290262213145284</v>
      </c>
      <c r="M107" s="21">
        <v>0.96452131990992873</v>
      </c>
      <c r="N107" s="21">
        <v>0.97709116947120978</v>
      </c>
      <c r="P107">
        <f t="shared" si="17"/>
        <v>0</v>
      </c>
      <c r="Q107">
        <f t="shared" si="17"/>
        <v>0</v>
      </c>
      <c r="R107">
        <f t="shared" si="17"/>
        <v>0</v>
      </c>
      <c r="S107">
        <f t="shared" si="17"/>
        <v>0</v>
      </c>
      <c r="T107">
        <f t="shared" si="17"/>
        <v>0</v>
      </c>
      <c r="U107">
        <f t="shared" si="17"/>
        <v>0</v>
      </c>
      <c r="V107">
        <f t="shared" si="17"/>
        <v>0</v>
      </c>
      <c r="W107">
        <f t="shared" si="17"/>
        <v>0</v>
      </c>
      <c r="X107">
        <f t="shared" si="17"/>
        <v>1</v>
      </c>
      <c r="Y107">
        <f t="shared" si="17"/>
        <v>0</v>
      </c>
      <c r="Z107">
        <f t="shared" si="17"/>
        <v>0</v>
      </c>
      <c r="AA107">
        <f t="shared" si="17"/>
        <v>0</v>
      </c>
    </row>
    <row r="108" spans="2:27" x14ac:dyDescent="0.25">
      <c r="B108" s="19" t="s">
        <v>160</v>
      </c>
      <c r="C108" s="21">
        <v>0.98173483102918591</v>
      </c>
      <c r="D108" s="20">
        <v>0.99979785372930541</v>
      </c>
      <c r="E108" s="21">
        <v>0.99840487568982184</v>
      </c>
      <c r="F108" s="21">
        <v>0.99603099042783194</v>
      </c>
      <c r="G108" s="21">
        <v>0.99730560533651924</v>
      </c>
      <c r="H108" s="21">
        <v>0.9991634131251067</v>
      </c>
      <c r="I108" s="21">
        <v>0.9960769489247312</v>
      </c>
      <c r="J108" s="21">
        <v>0.9820896537378393</v>
      </c>
      <c r="K108" s="21">
        <v>0.982133056515617</v>
      </c>
      <c r="L108" s="21">
        <v>0.98361435131848451</v>
      </c>
      <c r="M108" s="21">
        <v>0.99045378904249892</v>
      </c>
      <c r="N108" s="21">
        <v>0.99837362924560502</v>
      </c>
      <c r="P108">
        <f t="shared" si="17"/>
        <v>0</v>
      </c>
      <c r="Q108">
        <f t="shared" si="17"/>
        <v>1</v>
      </c>
      <c r="R108">
        <f t="shared" si="17"/>
        <v>0</v>
      </c>
      <c r="S108">
        <f t="shared" si="17"/>
        <v>0</v>
      </c>
      <c r="T108">
        <f t="shared" si="17"/>
        <v>0</v>
      </c>
      <c r="U108">
        <f t="shared" si="17"/>
        <v>0</v>
      </c>
      <c r="V108">
        <f t="shared" si="17"/>
        <v>0</v>
      </c>
      <c r="W108">
        <f t="shared" si="17"/>
        <v>0</v>
      </c>
      <c r="X108">
        <f t="shared" si="17"/>
        <v>0</v>
      </c>
      <c r="Y108">
        <f t="shared" si="17"/>
        <v>0</v>
      </c>
      <c r="Z108">
        <f t="shared" si="17"/>
        <v>0</v>
      </c>
      <c r="AA108">
        <f t="shared" si="17"/>
        <v>0</v>
      </c>
    </row>
    <row r="109" spans="2:27" x14ac:dyDescent="0.25">
      <c r="B109" s="19" t="s">
        <v>162</v>
      </c>
      <c r="C109" s="21">
        <v>0.76971318493150676</v>
      </c>
      <c r="D109" s="21">
        <v>0.7805436643835616</v>
      </c>
      <c r="E109" s="21">
        <v>0.82939497716894994</v>
      </c>
      <c r="F109" s="21">
        <v>0.81576055936073066</v>
      </c>
      <c r="G109" s="21">
        <v>0.83644406392694048</v>
      </c>
      <c r="H109" s="21">
        <v>0.82671232876712331</v>
      </c>
      <c r="I109" s="21">
        <v>0.79255850456621002</v>
      </c>
      <c r="J109" s="21">
        <v>0.78473173515981731</v>
      </c>
      <c r="K109" s="21">
        <v>0.80026398401826504</v>
      </c>
      <c r="L109" s="21">
        <v>0.77573487442922373</v>
      </c>
      <c r="M109" s="21">
        <v>0.78900542237442928</v>
      </c>
      <c r="N109" s="20">
        <v>0.8418307648401826</v>
      </c>
      <c r="P109">
        <f t="shared" si="17"/>
        <v>0</v>
      </c>
      <c r="Q109">
        <f t="shared" si="17"/>
        <v>0</v>
      </c>
      <c r="R109">
        <f t="shared" si="17"/>
        <v>0</v>
      </c>
      <c r="S109">
        <f t="shared" si="17"/>
        <v>0</v>
      </c>
      <c r="T109">
        <f t="shared" si="17"/>
        <v>0</v>
      </c>
      <c r="U109">
        <f t="shared" si="17"/>
        <v>0</v>
      </c>
      <c r="V109">
        <f t="shared" si="17"/>
        <v>0</v>
      </c>
      <c r="W109">
        <f t="shared" si="17"/>
        <v>0</v>
      </c>
      <c r="X109">
        <f t="shared" si="17"/>
        <v>0</v>
      </c>
      <c r="Y109">
        <f t="shared" si="17"/>
        <v>0</v>
      </c>
      <c r="Z109">
        <f t="shared" si="17"/>
        <v>0</v>
      </c>
      <c r="AA109">
        <f t="shared" si="17"/>
        <v>1</v>
      </c>
    </row>
    <row r="110" spans="2:27" x14ac:dyDescent="0.25">
      <c r="B110" s="19" t="s">
        <v>164</v>
      </c>
      <c r="C110" s="21">
        <v>0.74995719178082187</v>
      </c>
      <c r="D110" s="21">
        <v>0.7366438356164382</v>
      </c>
      <c r="E110" s="21">
        <v>0.82035530821917813</v>
      </c>
      <c r="F110" s="21">
        <v>0.81928510273972599</v>
      </c>
      <c r="G110" s="21">
        <v>0.8146832191780824</v>
      </c>
      <c r="H110" s="21">
        <v>0.82651969178082185</v>
      </c>
      <c r="I110" s="21">
        <v>0.80351027397260277</v>
      </c>
      <c r="J110" s="21">
        <v>0.7347602739726028</v>
      </c>
      <c r="K110" s="21">
        <v>0.80089897260273957</v>
      </c>
      <c r="L110" s="21">
        <v>0.81213613013698605</v>
      </c>
      <c r="M110" s="21">
        <v>0.7621575342465754</v>
      </c>
      <c r="N110" s="20">
        <v>0.84544092465753407</v>
      </c>
      <c r="P110">
        <f t="shared" si="17"/>
        <v>0</v>
      </c>
      <c r="Q110">
        <f t="shared" si="17"/>
        <v>0</v>
      </c>
      <c r="R110">
        <f t="shared" si="17"/>
        <v>0</v>
      </c>
      <c r="S110">
        <f t="shared" si="17"/>
        <v>0</v>
      </c>
      <c r="T110">
        <f t="shared" si="17"/>
        <v>0</v>
      </c>
      <c r="U110">
        <f t="shared" si="17"/>
        <v>0</v>
      </c>
      <c r="V110">
        <f t="shared" si="17"/>
        <v>0</v>
      </c>
      <c r="W110">
        <f t="shared" si="17"/>
        <v>0</v>
      </c>
      <c r="X110">
        <f t="shared" si="17"/>
        <v>0</v>
      </c>
      <c r="Y110">
        <f t="shared" si="17"/>
        <v>0</v>
      </c>
      <c r="Z110">
        <f t="shared" si="17"/>
        <v>0</v>
      </c>
      <c r="AA110">
        <f t="shared" si="17"/>
        <v>1</v>
      </c>
    </row>
    <row r="111" spans="2:27" x14ac:dyDescent="0.25">
      <c r="B111" s="19" t="s">
        <v>166</v>
      </c>
      <c r="C111" s="21">
        <v>0.68531802471721814</v>
      </c>
      <c r="D111" s="21">
        <v>0.69356086789554539</v>
      </c>
      <c r="E111" s="21">
        <v>0.71269677768468087</v>
      </c>
      <c r="F111" s="21">
        <v>0.71271173718754388</v>
      </c>
      <c r="G111" s="21">
        <v>0.69950010473397595</v>
      </c>
      <c r="H111" s="20">
        <v>0.73510773634967164</v>
      </c>
      <c r="I111" s="21">
        <v>0.69290751989945543</v>
      </c>
      <c r="J111" s="21">
        <v>0.71291291369920395</v>
      </c>
      <c r="K111" s="21">
        <v>0.69558966973886316</v>
      </c>
      <c r="L111" s="21">
        <v>0.71427689917609283</v>
      </c>
      <c r="M111" s="21">
        <v>0.68529849183074987</v>
      </c>
      <c r="N111" s="21">
        <v>0.72717642438206953</v>
      </c>
      <c r="P111">
        <f t="shared" si="17"/>
        <v>0</v>
      </c>
      <c r="Q111">
        <f t="shared" si="17"/>
        <v>0</v>
      </c>
      <c r="R111">
        <f t="shared" si="17"/>
        <v>0</v>
      </c>
      <c r="S111">
        <f t="shared" si="17"/>
        <v>0</v>
      </c>
      <c r="T111">
        <f t="shared" si="17"/>
        <v>0</v>
      </c>
      <c r="U111">
        <f t="shared" si="17"/>
        <v>1</v>
      </c>
      <c r="V111">
        <f t="shared" si="17"/>
        <v>0</v>
      </c>
      <c r="W111">
        <f t="shared" si="17"/>
        <v>0</v>
      </c>
      <c r="X111">
        <f t="shared" si="17"/>
        <v>0</v>
      </c>
      <c r="Y111">
        <f t="shared" si="17"/>
        <v>0</v>
      </c>
      <c r="Z111">
        <f t="shared" si="17"/>
        <v>0</v>
      </c>
      <c r="AA111">
        <f t="shared" si="17"/>
        <v>0</v>
      </c>
    </row>
    <row r="112" spans="2:27" x14ac:dyDescent="0.25">
      <c r="B112" s="2" t="s">
        <v>171</v>
      </c>
      <c r="C112" s="2">
        <f>P112</f>
        <v>3</v>
      </c>
      <c r="D112" s="2">
        <f t="shared" ref="D112:N112" si="18">Q112</f>
        <v>3</v>
      </c>
      <c r="E112" s="2">
        <f t="shared" si="18"/>
        <v>2</v>
      </c>
      <c r="F112" s="2">
        <f t="shared" si="18"/>
        <v>8</v>
      </c>
      <c r="G112" s="2">
        <f t="shared" si="18"/>
        <v>3</v>
      </c>
      <c r="H112" s="2">
        <f t="shared" si="18"/>
        <v>7</v>
      </c>
      <c r="I112" s="2">
        <f t="shared" si="18"/>
        <v>2</v>
      </c>
      <c r="J112" s="2">
        <f t="shared" si="18"/>
        <v>1</v>
      </c>
      <c r="K112" s="2">
        <f t="shared" si="18"/>
        <v>6</v>
      </c>
      <c r="L112" s="2">
        <f t="shared" si="18"/>
        <v>6</v>
      </c>
      <c r="M112" s="2">
        <f t="shared" si="18"/>
        <v>0</v>
      </c>
      <c r="N112" s="46">
        <f t="shared" si="18"/>
        <v>18</v>
      </c>
      <c r="P112">
        <f t="shared" ref="P112:AA112" si="19">SUM(P60:P111)</f>
        <v>3</v>
      </c>
      <c r="Q112">
        <f t="shared" si="19"/>
        <v>3</v>
      </c>
      <c r="R112">
        <f t="shared" si="19"/>
        <v>2</v>
      </c>
      <c r="S112">
        <f t="shared" si="19"/>
        <v>8</v>
      </c>
      <c r="T112">
        <f t="shared" si="19"/>
        <v>3</v>
      </c>
      <c r="U112">
        <f t="shared" si="19"/>
        <v>7</v>
      </c>
      <c r="V112">
        <f t="shared" si="19"/>
        <v>2</v>
      </c>
      <c r="W112">
        <f t="shared" si="19"/>
        <v>1</v>
      </c>
      <c r="X112">
        <f t="shared" si="19"/>
        <v>6</v>
      </c>
      <c r="Y112">
        <f t="shared" si="19"/>
        <v>6</v>
      </c>
      <c r="Z112">
        <f t="shared" si="19"/>
        <v>0</v>
      </c>
      <c r="AA112">
        <f t="shared" si="19"/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E4754-0139-491E-899A-1FF318177BE4}">
  <sheetPr codeName="Sheet3"/>
  <dimension ref="B2:AA112"/>
  <sheetViews>
    <sheetView topLeftCell="A13" zoomScale="55" zoomScaleNormal="55" workbookViewId="0">
      <selection activeCell="E62" sqref="B59:N112"/>
    </sheetView>
  </sheetViews>
  <sheetFormatPr defaultRowHeight="15" x14ac:dyDescent="0.25"/>
  <cols>
    <col min="2" max="2" width="9.140625" style="5"/>
    <col min="3" max="14" width="12.5703125" bestFit="1" customWidth="1"/>
  </cols>
  <sheetData>
    <row r="2" spans="2:27" x14ac:dyDescent="0.25">
      <c r="B2" s="12" t="s">
        <v>169</v>
      </c>
      <c r="C2" s="6" t="s">
        <v>0</v>
      </c>
      <c r="D2" s="6" t="s">
        <v>1</v>
      </c>
      <c r="E2" s="6" t="s">
        <v>2</v>
      </c>
      <c r="F2" s="6" t="s">
        <v>3</v>
      </c>
      <c r="G2" s="6" t="s">
        <v>4</v>
      </c>
      <c r="H2" s="6" t="s">
        <v>5</v>
      </c>
      <c r="I2" s="6" t="s">
        <v>6</v>
      </c>
      <c r="J2" s="6" t="s">
        <v>7</v>
      </c>
      <c r="K2" s="6" t="s">
        <v>8</v>
      </c>
      <c r="L2" s="6" t="s">
        <v>9</v>
      </c>
      <c r="M2" s="6" t="s">
        <v>10</v>
      </c>
      <c r="N2" s="6" t="s">
        <v>11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6</v>
      </c>
      <c r="W2" s="1" t="s">
        <v>7</v>
      </c>
      <c r="X2" s="1" t="s">
        <v>8</v>
      </c>
      <c r="Y2" s="1" t="s">
        <v>9</v>
      </c>
      <c r="Z2" s="1" t="s">
        <v>10</v>
      </c>
      <c r="AA2" s="1" t="s">
        <v>11</v>
      </c>
    </row>
    <row r="3" spans="2:27" x14ac:dyDescent="0.25">
      <c r="B3" s="13" t="s">
        <v>65</v>
      </c>
      <c r="C3" s="8">
        <v>8.4375</v>
      </c>
      <c r="D3" s="8">
        <v>8.4375</v>
      </c>
      <c r="E3" s="8">
        <v>6.375</v>
      </c>
      <c r="F3" s="8">
        <v>7.0625</v>
      </c>
      <c r="G3" s="8">
        <v>5.8125</v>
      </c>
      <c r="H3" s="8">
        <v>5.625</v>
      </c>
      <c r="I3" s="8">
        <v>5</v>
      </c>
      <c r="J3" s="8">
        <v>8</v>
      </c>
      <c r="K3" s="8">
        <v>6.125</v>
      </c>
      <c r="L3" s="8">
        <v>5.9375</v>
      </c>
      <c r="M3" s="8">
        <v>8.25</v>
      </c>
      <c r="N3" s="9">
        <v>2.9375</v>
      </c>
      <c r="P3">
        <f>IF(C3=MIN($C3:$N3),1,0)</f>
        <v>0</v>
      </c>
      <c r="Q3">
        <f t="shared" ref="Q3:AA18" si="0">IF(D3=MIN($C3:$N3),1,0)</f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1</v>
      </c>
    </row>
    <row r="4" spans="2:27" x14ac:dyDescent="0.25">
      <c r="B4" s="13" t="s">
        <v>67</v>
      </c>
      <c r="C4" s="8">
        <v>8.5</v>
      </c>
      <c r="D4" s="8">
        <v>8.5</v>
      </c>
      <c r="E4" s="8">
        <v>4.4375</v>
      </c>
      <c r="F4" s="8">
        <v>7.9375</v>
      </c>
      <c r="G4" s="8">
        <v>6.125</v>
      </c>
      <c r="H4" s="8">
        <v>6.25</v>
      </c>
      <c r="I4" s="8">
        <v>4.5</v>
      </c>
      <c r="J4" s="8">
        <v>7.3125</v>
      </c>
      <c r="K4" s="8">
        <v>6.1875</v>
      </c>
      <c r="L4" s="8">
        <v>7.625</v>
      </c>
      <c r="M4" s="8">
        <v>7.125</v>
      </c>
      <c r="N4" s="9">
        <v>3.5</v>
      </c>
      <c r="P4">
        <f t="shared" ref="P4:AA38" si="1">IF(C4=MIN($C4:$N4),1,0)</f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1</v>
      </c>
    </row>
    <row r="5" spans="2:27" x14ac:dyDescent="0.25">
      <c r="B5" s="13" t="s">
        <v>69</v>
      </c>
      <c r="C5" s="8">
        <v>8.25</v>
      </c>
      <c r="D5" s="8">
        <v>9.625</v>
      </c>
      <c r="E5" s="8">
        <v>6.3125</v>
      </c>
      <c r="F5" s="8">
        <v>6</v>
      </c>
      <c r="G5" s="8">
        <v>4.75</v>
      </c>
      <c r="H5" s="8">
        <v>5.5</v>
      </c>
      <c r="I5" s="8">
        <v>4.8125</v>
      </c>
      <c r="J5" s="8">
        <v>6.75</v>
      </c>
      <c r="K5" s="8">
        <v>6.625</v>
      </c>
      <c r="L5" s="8">
        <v>7.375</v>
      </c>
      <c r="M5" s="8">
        <v>8</v>
      </c>
      <c r="N5" s="9">
        <v>4</v>
      </c>
      <c r="P5">
        <f t="shared" si="1"/>
        <v>0</v>
      </c>
      <c r="Q5">
        <f t="shared" si="0"/>
        <v>0</v>
      </c>
      <c r="R5">
        <f t="shared" si="0"/>
        <v>0</v>
      </c>
      <c r="S5">
        <f t="shared" si="0"/>
        <v>0</v>
      </c>
      <c r="T5">
        <f t="shared" si="0"/>
        <v>0</v>
      </c>
      <c r="U5">
        <f t="shared" si="0"/>
        <v>0</v>
      </c>
      <c r="V5">
        <f t="shared" si="0"/>
        <v>0</v>
      </c>
      <c r="W5">
        <f t="shared" si="0"/>
        <v>0</v>
      </c>
      <c r="X5">
        <f t="shared" si="0"/>
        <v>0</v>
      </c>
      <c r="Y5">
        <f t="shared" si="0"/>
        <v>0</v>
      </c>
      <c r="Z5">
        <f t="shared" si="0"/>
        <v>0</v>
      </c>
      <c r="AA5">
        <f t="shared" si="0"/>
        <v>1</v>
      </c>
    </row>
    <row r="6" spans="2:27" x14ac:dyDescent="0.25">
      <c r="B6" s="13" t="s">
        <v>71</v>
      </c>
      <c r="C6" s="8">
        <v>8.3125</v>
      </c>
      <c r="D6" s="8">
        <v>8.125</v>
      </c>
      <c r="E6" s="8">
        <v>6.5625</v>
      </c>
      <c r="F6" s="8">
        <v>7.8125</v>
      </c>
      <c r="G6" s="8">
        <v>5.4375</v>
      </c>
      <c r="H6" s="8">
        <v>6.5625</v>
      </c>
      <c r="I6" s="8">
        <v>6.375</v>
      </c>
      <c r="J6" s="8">
        <v>7.875</v>
      </c>
      <c r="K6" s="8">
        <v>6.6875</v>
      </c>
      <c r="L6" s="8">
        <v>5.375</v>
      </c>
      <c r="M6" s="8">
        <v>5.125</v>
      </c>
      <c r="N6" s="9">
        <v>3.75</v>
      </c>
      <c r="P6">
        <f t="shared" si="1"/>
        <v>0</v>
      </c>
      <c r="Q6">
        <f t="shared" si="0"/>
        <v>0</v>
      </c>
      <c r="R6">
        <f t="shared" si="0"/>
        <v>0</v>
      </c>
      <c r="S6">
        <f t="shared" si="0"/>
        <v>0</v>
      </c>
      <c r="T6">
        <f t="shared" si="0"/>
        <v>0</v>
      </c>
      <c r="U6">
        <f t="shared" si="0"/>
        <v>0</v>
      </c>
      <c r="V6">
        <f t="shared" si="0"/>
        <v>0</v>
      </c>
      <c r="W6">
        <f t="shared" si="0"/>
        <v>0</v>
      </c>
      <c r="X6">
        <f t="shared" si="0"/>
        <v>0</v>
      </c>
      <c r="Y6">
        <f t="shared" si="0"/>
        <v>0</v>
      </c>
      <c r="Z6">
        <f t="shared" si="0"/>
        <v>0</v>
      </c>
      <c r="AA6">
        <f t="shared" si="0"/>
        <v>1</v>
      </c>
    </row>
    <row r="7" spans="2:27" x14ac:dyDescent="0.25">
      <c r="B7" s="13" t="s">
        <v>73</v>
      </c>
      <c r="C7" s="8">
        <v>7.5625</v>
      </c>
      <c r="D7" s="8">
        <v>9.8125</v>
      </c>
      <c r="E7" s="8">
        <v>7</v>
      </c>
      <c r="F7" s="8">
        <v>5.1875</v>
      </c>
      <c r="G7" s="9">
        <v>3.5</v>
      </c>
      <c r="H7" s="8">
        <v>8.0625</v>
      </c>
      <c r="I7" s="8">
        <v>5.5625</v>
      </c>
      <c r="J7" s="8">
        <v>7.3125</v>
      </c>
      <c r="K7" s="8">
        <v>5.25</v>
      </c>
      <c r="L7" s="8">
        <v>7.4375</v>
      </c>
      <c r="M7" s="8">
        <v>5.875</v>
      </c>
      <c r="N7" s="8">
        <v>5.4375</v>
      </c>
      <c r="P7">
        <f t="shared" si="1"/>
        <v>0</v>
      </c>
      <c r="Q7">
        <f t="shared" si="0"/>
        <v>0</v>
      </c>
      <c r="R7">
        <f t="shared" si="0"/>
        <v>0</v>
      </c>
      <c r="S7">
        <f t="shared" si="0"/>
        <v>0</v>
      </c>
      <c r="T7">
        <f t="shared" si="0"/>
        <v>1</v>
      </c>
      <c r="U7">
        <f t="shared" si="0"/>
        <v>0</v>
      </c>
      <c r="V7">
        <f t="shared" si="0"/>
        <v>0</v>
      </c>
      <c r="W7">
        <f t="shared" si="0"/>
        <v>0</v>
      </c>
      <c r="X7">
        <f t="shared" si="0"/>
        <v>0</v>
      </c>
      <c r="Y7">
        <f t="shared" si="0"/>
        <v>0</v>
      </c>
      <c r="Z7">
        <f t="shared" si="0"/>
        <v>0</v>
      </c>
      <c r="AA7">
        <f t="shared" si="0"/>
        <v>0</v>
      </c>
    </row>
    <row r="8" spans="2:27" x14ac:dyDescent="0.25">
      <c r="B8" s="13" t="s">
        <v>75</v>
      </c>
      <c r="C8" s="8">
        <v>6.9375</v>
      </c>
      <c r="D8" s="8">
        <v>9.4375</v>
      </c>
      <c r="E8" s="8">
        <v>5.1875</v>
      </c>
      <c r="F8" s="8">
        <v>4.9375</v>
      </c>
      <c r="G8" s="9">
        <v>4.25</v>
      </c>
      <c r="H8" s="8">
        <v>5.8125</v>
      </c>
      <c r="I8" s="8">
        <v>8.875</v>
      </c>
      <c r="J8" s="8">
        <v>4.8125</v>
      </c>
      <c r="K8" s="8">
        <v>8.1875</v>
      </c>
      <c r="L8" s="8">
        <v>6.9375</v>
      </c>
      <c r="M8" s="8">
        <v>7</v>
      </c>
      <c r="N8" s="8">
        <v>5.625</v>
      </c>
      <c r="P8">
        <f t="shared" si="1"/>
        <v>0</v>
      </c>
      <c r="Q8">
        <f t="shared" si="0"/>
        <v>0</v>
      </c>
      <c r="R8">
        <f t="shared" si="0"/>
        <v>0</v>
      </c>
      <c r="S8">
        <f t="shared" si="0"/>
        <v>0</v>
      </c>
      <c r="T8">
        <f t="shared" si="0"/>
        <v>1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</row>
    <row r="9" spans="2:27" x14ac:dyDescent="0.25">
      <c r="B9" s="13" t="s">
        <v>77</v>
      </c>
      <c r="C9" s="8">
        <v>7.0625</v>
      </c>
      <c r="D9" s="8">
        <v>9.4375</v>
      </c>
      <c r="E9" s="8">
        <v>7.375</v>
      </c>
      <c r="F9" s="9">
        <v>2.75</v>
      </c>
      <c r="G9" s="8">
        <v>7.4375</v>
      </c>
      <c r="H9" s="8">
        <v>5.4375</v>
      </c>
      <c r="I9" s="8">
        <v>8</v>
      </c>
      <c r="J9" s="8">
        <v>7.6875</v>
      </c>
      <c r="K9" s="8">
        <v>8.1875</v>
      </c>
      <c r="L9" s="8">
        <v>6.6875</v>
      </c>
      <c r="M9" s="8">
        <v>4.4375</v>
      </c>
      <c r="N9" s="8">
        <v>3.5</v>
      </c>
      <c r="P9">
        <f t="shared" si="1"/>
        <v>0</v>
      </c>
      <c r="Q9">
        <f t="shared" si="0"/>
        <v>0</v>
      </c>
      <c r="R9">
        <f t="shared" si="0"/>
        <v>0</v>
      </c>
      <c r="S9">
        <f t="shared" si="0"/>
        <v>1</v>
      </c>
      <c r="T9">
        <f t="shared" si="0"/>
        <v>0</v>
      </c>
      <c r="U9">
        <f t="shared" si="0"/>
        <v>0</v>
      </c>
      <c r="V9">
        <f t="shared" si="0"/>
        <v>0</v>
      </c>
      <c r="W9">
        <f t="shared" si="0"/>
        <v>0</v>
      </c>
      <c r="X9">
        <f t="shared" si="0"/>
        <v>0</v>
      </c>
      <c r="Y9">
        <f t="shared" si="0"/>
        <v>0</v>
      </c>
      <c r="Z9">
        <f t="shared" si="0"/>
        <v>0</v>
      </c>
      <c r="AA9">
        <f t="shared" si="0"/>
        <v>0</v>
      </c>
    </row>
    <row r="10" spans="2:27" x14ac:dyDescent="0.25">
      <c r="B10" s="13" t="s">
        <v>79</v>
      </c>
      <c r="C10" s="8">
        <v>8.1875</v>
      </c>
      <c r="D10" s="8">
        <v>9.75</v>
      </c>
      <c r="E10" s="8">
        <v>8.1875</v>
      </c>
      <c r="F10" s="8">
        <v>4.375</v>
      </c>
      <c r="G10" s="9">
        <v>4.25</v>
      </c>
      <c r="H10" s="8">
        <v>6.4375</v>
      </c>
      <c r="I10" s="8">
        <v>4.3125</v>
      </c>
      <c r="J10" s="8">
        <v>5</v>
      </c>
      <c r="K10" s="8">
        <v>6.375</v>
      </c>
      <c r="L10" s="8">
        <v>9</v>
      </c>
      <c r="M10" s="8">
        <v>7.5</v>
      </c>
      <c r="N10" s="8">
        <v>4.625</v>
      </c>
      <c r="P10">
        <f t="shared" si="1"/>
        <v>0</v>
      </c>
      <c r="Q10">
        <f t="shared" si="0"/>
        <v>0</v>
      </c>
      <c r="R10">
        <f t="shared" si="0"/>
        <v>0</v>
      </c>
      <c r="S10">
        <f t="shared" si="0"/>
        <v>0</v>
      </c>
      <c r="T10">
        <f t="shared" si="0"/>
        <v>1</v>
      </c>
      <c r="U10">
        <f t="shared" si="0"/>
        <v>0</v>
      </c>
      <c r="V10">
        <f t="shared" si="0"/>
        <v>0</v>
      </c>
      <c r="W10">
        <f t="shared" si="0"/>
        <v>0</v>
      </c>
      <c r="X10">
        <f t="shared" si="0"/>
        <v>0</v>
      </c>
      <c r="Y10">
        <f t="shared" si="0"/>
        <v>0</v>
      </c>
      <c r="Z10">
        <f t="shared" si="0"/>
        <v>0</v>
      </c>
      <c r="AA10">
        <f t="shared" si="0"/>
        <v>0</v>
      </c>
    </row>
    <row r="11" spans="2:27" x14ac:dyDescent="0.25">
      <c r="B11" s="13" t="s">
        <v>81</v>
      </c>
      <c r="C11" s="8">
        <v>7.25</v>
      </c>
      <c r="D11" s="8">
        <v>9.3125</v>
      </c>
      <c r="E11" s="8">
        <v>7.5625</v>
      </c>
      <c r="F11" s="8">
        <v>7.1875</v>
      </c>
      <c r="G11" s="8">
        <v>4.5625</v>
      </c>
      <c r="H11" s="8">
        <v>5.625</v>
      </c>
      <c r="I11" s="8">
        <v>7</v>
      </c>
      <c r="J11" s="8">
        <v>6.125</v>
      </c>
      <c r="K11" s="9">
        <v>4.4375</v>
      </c>
      <c r="L11" s="8">
        <v>7.4375</v>
      </c>
      <c r="M11" s="8">
        <v>6.5</v>
      </c>
      <c r="N11" s="8">
        <v>5</v>
      </c>
      <c r="P11">
        <f t="shared" si="1"/>
        <v>0</v>
      </c>
      <c r="Q11">
        <f t="shared" si="0"/>
        <v>0</v>
      </c>
      <c r="R11">
        <f t="shared" si="0"/>
        <v>0</v>
      </c>
      <c r="S11">
        <f t="shared" si="0"/>
        <v>0</v>
      </c>
      <c r="T11">
        <f t="shared" si="0"/>
        <v>0</v>
      </c>
      <c r="U11">
        <f t="shared" si="0"/>
        <v>0</v>
      </c>
      <c r="V11">
        <f t="shared" si="0"/>
        <v>0</v>
      </c>
      <c r="W11">
        <f t="shared" si="0"/>
        <v>0</v>
      </c>
      <c r="X11">
        <f t="shared" si="0"/>
        <v>1</v>
      </c>
      <c r="Y11">
        <f t="shared" si="0"/>
        <v>0</v>
      </c>
      <c r="Z11">
        <f t="shared" si="0"/>
        <v>0</v>
      </c>
      <c r="AA11">
        <f t="shared" si="0"/>
        <v>0</v>
      </c>
    </row>
    <row r="12" spans="2:27" x14ac:dyDescent="0.25">
      <c r="B12" s="13" t="s">
        <v>83</v>
      </c>
      <c r="C12" s="8">
        <v>5.0625</v>
      </c>
      <c r="D12" s="8">
        <v>7.875</v>
      </c>
      <c r="E12" s="8">
        <v>4.4375</v>
      </c>
      <c r="F12" s="8">
        <v>7.5</v>
      </c>
      <c r="G12" s="8">
        <v>7.0625</v>
      </c>
      <c r="H12" s="8">
        <v>9.4375</v>
      </c>
      <c r="I12" s="8">
        <v>6.3125</v>
      </c>
      <c r="J12" s="8">
        <v>9.125</v>
      </c>
      <c r="K12" s="8">
        <v>4.25</v>
      </c>
      <c r="L12" s="8">
        <v>7.25</v>
      </c>
      <c r="M12" s="8">
        <v>5.5625</v>
      </c>
      <c r="N12" s="9">
        <v>4.125</v>
      </c>
      <c r="P12">
        <f t="shared" si="1"/>
        <v>0</v>
      </c>
      <c r="Q12">
        <f t="shared" si="0"/>
        <v>0</v>
      </c>
      <c r="R12">
        <f t="shared" si="0"/>
        <v>0</v>
      </c>
      <c r="S12">
        <f t="shared" si="0"/>
        <v>0</v>
      </c>
      <c r="T12">
        <f t="shared" si="0"/>
        <v>0</v>
      </c>
      <c r="U12">
        <f t="shared" si="0"/>
        <v>0</v>
      </c>
      <c r="V12">
        <f t="shared" si="0"/>
        <v>0</v>
      </c>
      <c r="W12">
        <f t="shared" si="0"/>
        <v>0</v>
      </c>
      <c r="X12">
        <f t="shared" si="0"/>
        <v>0</v>
      </c>
      <c r="Y12">
        <f t="shared" si="0"/>
        <v>0</v>
      </c>
      <c r="Z12">
        <f t="shared" si="0"/>
        <v>0</v>
      </c>
      <c r="AA12">
        <f t="shared" si="0"/>
        <v>1</v>
      </c>
    </row>
    <row r="13" spans="2:27" x14ac:dyDescent="0.25">
      <c r="B13" s="13" t="s">
        <v>85</v>
      </c>
      <c r="C13" s="8">
        <v>9</v>
      </c>
      <c r="D13" s="8">
        <v>8</v>
      </c>
      <c r="E13" s="8">
        <v>8.75</v>
      </c>
      <c r="F13" s="8">
        <v>5.375</v>
      </c>
      <c r="G13" s="9">
        <v>3</v>
      </c>
      <c r="H13" s="8">
        <v>4</v>
      </c>
      <c r="I13" s="8">
        <v>7.625</v>
      </c>
      <c r="J13" s="8">
        <v>6.625</v>
      </c>
      <c r="K13" s="8">
        <v>4.1875</v>
      </c>
      <c r="L13" s="8">
        <v>7.5625</v>
      </c>
      <c r="M13" s="8">
        <v>8.125</v>
      </c>
      <c r="N13" s="8">
        <v>5.75</v>
      </c>
      <c r="P13">
        <f t="shared" si="1"/>
        <v>0</v>
      </c>
      <c r="Q13">
        <f t="shared" si="0"/>
        <v>0</v>
      </c>
      <c r="R13">
        <f t="shared" si="0"/>
        <v>0</v>
      </c>
      <c r="S13">
        <f t="shared" si="0"/>
        <v>0</v>
      </c>
      <c r="T13">
        <f t="shared" si="0"/>
        <v>1</v>
      </c>
      <c r="U13">
        <f t="shared" si="0"/>
        <v>0</v>
      </c>
      <c r="V13">
        <f t="shared" si="0"/>
        <v>0</v>
      </c>
      <c r="W13">
        <f t="shared" si="0"/>
        <v>0</v>
      </c>
      <c r="X13">
        <f t="shared" si="0"/>
        <v>0</v>
      </c>
      <c r="Y13">
        <f t="shared" si="0"/>
        <v>0</v>
      </c>
      <c r="Z13">
        <f t="shared" si="0"/>
        <v>0</v>
      </c>
      <c r="AA13">
        <f t="shared" si="0"/>
        <v>0</v>
      </c>
    </row>
    <row r="14" spans="2:27" x14ac:dyDescent="0.25">
      <c r="B14" s="13" t="s">
        <v>87</v>
      </c>
      <c r="C14" s="8">
        <v>9.6875</v>
      </c>
      <c r="D14" s="8">
        <v>6</v>
      </c>
      <c r="E14" s="8">
        <v>6.5625</v>
      </c>
      <c r="F14" s="8">
        <v>3.375</v>
      </c>
      <c r="G14" s="9">
        <v>2.625</v>
      </c>
      <c r="H14" s="8">
        <v>4.75</v>
      </c>
      <c r="I14" s="8">
        <v>5.5</v>
      </c>
      <c r="J14" s="8">
        <v>9.625</v>
      </c>
      <c r="K14" s="8">
        <v>8.4375</v>
      </c>
      <c r="L14" s="8">
        <v>10.25</v>
      </c>
      <c r="M14" s="8">
        <v>8.3125</v>
      </c>
      <c r="N14" s="8">
        <v>2.875</v>
      </c>
      <c r="P14">
        <f t="shared" si="1"/>
        <v>0</v>
      </c>
      <c r="Q14">
        <f t="shared" si="0"/>
        <v>0</v>
      </c>
      <c r="R14">
        <f t="shared" si="0"/>
        <v>0</v>
      </c>
      <c r="S14">
        <f t="shared" si="0"/>
        <v>0</v>
      </c>
      <c r="T14">
        <f t="shared" si="0"/>
        <v>1</v>
      </c>
      <c r="U14">
        <f t="shared" si="0"/>
        <v>0</v>
      </c>
      <c r="V14">
        <f t="shared" si="0"/>
        <v>0</v>
      </c>
      <c r="W14">
        <f t="shared" si="0"/>
        <v>0</v>
      </c>
      <c r="X14">
        <f t="shared" si="0"/>
        <v>0</v>
      </c>
      <c r="Y14">
        <f t="shared" si="0"/>
        <v>0</v>
      </c>
      <c r="Z14">
        <f t="shared" si="0"/>
        <v>0</v>
      </c>
      <c r="AA14">
        <f t="shared" si="0"/>
        <v>0</v>
      </c>
    </row>
    <row r="15" spans="2:27" x14ac:dyDescent="0.25">
      <c r="B15" s="13" t="s">
        <v>88</v>
      </c>
      <c r="C15" s="8">
        <v>10.25</v>
      </c>
      <c r="D15" s="8">
        <v>7.0625</v>
      </c>
      <c r="E15" s="8">
        <v>7.875</v>
      </c>
      <c r="F15" s="8">
        <v>8.3125</v>
      </c>
      <c r="G15" s="8">
        <v>5</v>
      </c>
      <c r="H15" s="8">
        <v>5.0625</v>
      </c>
      <c r="I15" s="8">
        <v>8</v>
      </c>
      <c r="J15" s="8">
        <v>8.8125</v>
      </c>
      <c r="K15" s="8">
        <v>3.75</v>
      </c>
      <c r="L15" s="8">
        <v>4</v>
      </c>
      <c r="M15" s="8">
        <v>8.5</v>
      </c>
      <c r="N15" s="9">
        <v>1.375</v>
      </c>
      <c r="P15">
        <f t="shared" si="1"/>
        <v>0</v>
      </c>
      <c r="Q15">
        <f t="shared" si="0"/>
        <v>0</v>
      </c>
      <c r="R15">
        <f t="shared" si="0"/>
        <v>0</v>
      </c>
      <c r="S15">
        <f t="shared" si="0"/>
        <v>0</v>
      </c>
      <c r="T15">
        <f t="shared" si="0"/>
        <v>0</v>
      </c>
      <c r="U15">
        <f t="shared" si="0"/>
        <v>0</v>
      </c>
      <c r="V15">
        <f t="shared" si="0"/>
        <v>0</v>
      </c>
      <c r="W15">
        <f t="shared" si="0"/>
        <v>0</v>
      </c>
      <c r="X15">
        <f t="shared" si="0"/>
        <v>0</v>
      </c>
      <c r="Y15">
        <f t="shared" si="0"/>
        <v>0</v>
      </c>
      <c r="Z15">
        <f t="shared" si="0"/>
        <v>0</v>
      </c>
      <c r="AA15">
        <f t="shared" si="0"/>
        <v>1</v>
      </c>
    </row>
    <row r="16" spans="2:27" x14ac:dyDescent="0.25">
      <c r="B16" s="13" t="s">
        <v>90</v>
      </c>
      <c r="C16" s="8">
        <v>8</v>
      </c>
      <c r="D16" s="8">
        <v>8.1875</v>
      </c>
      <c r="E16" s="8">
        <v>4.875</v>
      </c>
      <c r="F16" s="8">
        <v>6.5625</v>
      </c>
      <c r="G16" s="9">
        <v>4.3125</v>
      </c>
      <c r="H16" s="8">
        <v>5.625</v>
      </c>
      <c r="I16" s="8">
        <v>4.5625</v>
      </c>
      <c r="J16" s="8">
        <v>7.4375</v>
      </c>
      <c r="K16" s="8">
        <v>7</v>
      </c>
      <c r="L16" s="8">
        <v>10</v>
      </c>
      <c r="M16" s="8">
        <v>5.4375</v>
      </c>
      <c r="N16" s="8">
        <v>6</v>
      </c>
      <c r="P16">
        <f t="shared" si="1"/>
        <v>0</v>
      </c>
      <c r="Q16">
        <f t="shared" si="0"/>
        <v>0</v>
      </c>
      <c r="R16">
        <f t="shared" si="0"/>
        <v>0</v>
      </c>
      <c r="S16">
        <f t="shared" si="0"/>
        <v>0</v>
      </c>
      <c r="T16">
        <f t="shared" si="0"/>
        <v>1</v>
      </c>
      <c r="U16">
        <f t="shared" si="0"/>
        <v>0</v>
      </c>
      <c r="V16">
        <f t="shared" si="0"/>
        <v>0</v>
      </c>
      <c r="W16">
        <f t="shared" si="0"/>
        <v>0</v>
      </c>
      <c r="X16">
        <f t="shared" si="0"/>
        <v>0</v>
      </c>
      <c r="Y16">
        <f t="shared" si="0"/>
        <v>0</v>
      </c>
      <c r="Z16">
        <f t="shared" si="0"/>
        <v>0</v>
      </c>
      <c r="AA16">
        <f t="shared" si="0"/>
        <v>0</v>
      </c>
    </row>
    <row r="17" spans="2:27" x14ac:dyDescent="0.25">
      <c r="B17" s="13" t="s">
        <v>92</v>
      </c>
      <c r="C17" s="8">
        <v>6.9375</v>
      </c>
      <c r="D17" s="8">
        <v>4.125</v>
      </c>
      <c r="E17" s="8">
        <v>7.4375</v>
      </c>
      <c r="F17" s="8">
        <v>7.75</v>
      </c>
      <c r="G17" s="8">
        <v>6.5</v>
      </c>
      <c r="H17" s="8">
        <v>7.875</v>
      </c>
      <c r="I17" s="8">
        <v>7.75</v>
      </c>
      <c r="J17" s="8">
        <v>5.75</v>
      </c>
      <c r="K17" s="8">
        <v>6.25</v>
      </c>
      <c r="L17" s="8">
        <v>6.5625</v>
      </c>
      <c r="M17" s="8">
        <v>7.4375</v>
      </c>
      <c r="N17" s="9">
        <v>3.625</v>
      </c>
      <c r="P17">
        <f t="shared" si="1"/>
        <v>0</v>
      </c>
      <c r="Q17">
        <f t="shared" si="0"/>
        <v>0</v>
      </c>
      <c r="R17">
        <f t="shared" si="0"/>
        <v>0</v>
      </c>
      <c r="S17">
        <f t="shared" si="0"/>
        <v>0</v>
      </c>
      <c r="T17">
        <f t="shared" si="0"/>
        <v>0</v>
      </c>
      <c r="U17">
        <f t="shared" si="0"/>
        <v>0</v>
      </c>
      <c r="V17">
        <f t="shared" si="0"/>
        <v>0</v>
      </c>
      <c r="W17">
        <f t="shared" si="0"/>
        <v>0</v>
      </c>
      <c r="X17">
        <f t="shared" si="0"/>
        <v>0</v>
      </c>
      <c r="Y17">
        <f t="shared" si="0"/>
        <v>0</v>
      </c>
      <c r="Z17">
        <f t="shared" si="0"/>
        <v>0</v>
      </c>
      <c r="AA17">
        <f t="shared" si="0"/>
        <v>1</v>
      </c>
    </row>
    <row r="18" spans="2:27" x14ac:dyDescent="0.25">
      <c r="B18" s="13" t="s">
        <v>94</v>
      </c>
      <c r="C18" s="8">
        <v>5.25</v>
      </c>
      <c r="D18" s="8">
        <v>5.75</v>
      </c>
      <c r="E18" s="9">
        <v>4.625</v>
      </c>
      <c r="F18" s="8">
        <v>5.875</v>
      </c>
      <c r="G18" s="8">
        <v>6.0625</v>
      </c>
      <c r="H18" s="8">
        <v>9.75</v>
      </c>
      <c r="I18" s="8">
        <v>6.9375</v>
      </c>
      <c r="J18" s="8">
        <v>5.9375</v>
      </c>
      <c r="K18" s="8">
        <v>6.4375</v>
      </c>
      <c r="L18" s="8">
        <v>8.3125</v>
      </c>
      <c r="M18" s="8">
        <v>7.5625</v>
      </c>
      <c r="N18" s="8">
        <v>5.5</v>
      </c>
      <c r="P18">
        <f t="shared" si="1"/>
        <v>0</v>
      </c>
      <c r="Q18">
        <f t="shared" si="0"/>
        <v>0</v>
      </c>
      <c r="R18">
        <f t="shared" si="0"/>
        <v>1</v>
      </c>
      <c r="S18">
        <f t="shared" si="0"/>
        <v>0</v>
      </c>
      <c r="T18">
        <f t="shared" si="0"/>
        <v>0</v>
      </c>
      <c r="U18">
        <f t="shared" si="0"/>
        <v>0</v>
      </c>
      <c r="V18">
        <f t="shared" si="0"/>
        <v>0</v>
      </c>
      <c r="W18">
        <f t="shared" si="0"/>
        <v>0</v>
      </c>
      <c r="X18">
        <f t="shared" si="0"/>
        <v>0</v>
      </c>
      <c r="Y18">
        <f t="shared" si="0"/>
        <v>0</v>
      </c>
      <c r="Z18">
        <f t="shared" si="0"/>
        <v>0</v>
      </c>
      <c r="AA18">
        <f t="shared" si="0"/>
        <v>0</v>
      </c>
    </row>
    <row r="19" spans="2:27" x14ac:dyDescent="0.25">
      <c r="B19" s="13" t="s">
        <v>96</v>
      </c>
      <c r="C19" s="8">
        <v>10</v>
      </c>
      <c r="D19" s="8">
        <v>6.375</v>
      </c>
      <c r="E19" s="8">
        <v>5</v>
      </c>
      <c r="F19" s="8">
        <v>4.75</v>
      </c>
      <c r="G19" s="8">
        <v>5.625</v>
      </c>
      <c r="H19" s="8">
        <v>5.625</v>
      </c>
      <c r="I19" s="8">
        <v>6.75</v>
      </c>
      <c r="J19" s="8">
        <v>8.4375</v>
      </c>
      <c r="K19" s="8">
        <v>8.25</v>
      </c>
      <c r="L19" s="8">
        <v>6.25</v>
      </c>
      <c r="M19" s="8">
        <v>8.5625</v>
      </c>
      <c r="N19" s="9">
        <v>2.375</v>
      </c>
      <c r="P19">
        <f t="shared" si="1"/>
        <v>0</v>
      </c>
      <c r="Q19">
        <f t="shared" si="1"/>
        <v>0</v>
      </c>
      <c r="R19">
        <f t="shared" si="1"/>
        <v>0</v>
      </c>
      <c r="S19">
        <f t="shared" si="1"/>
        <v>0</v>
      </c>
      <c r="T19">
        <f t="shared" si="1"/>
        <v>0</v>
      </c>
      <c r="U19">
        <f t="shared" si="1"/>
        <v>0</v>
      </c>
      <c r="V19">
        <f t="shared" si="1"/>
        <v>0</v>
      </c>
      <c r="W19">
        <f t="shared" si="1"/>
        <v>0</v>
      </c>
      <c r="X19">
        <f t="shared" si="1"/>
        <v>0</v>
      </c>
      <c r="Y19">
        <f t="shared" si="1"/>
        <v>0</v>
      </c>
      <c r="Z19">
        <f t="shared" si="1"/>
        <v>0</v>
      </c>
      <c r="AA19">
        <f t="shared" si="1"/>
        <v>1</v>
      </c>
    </row>
    <row r="20" spans="2:27" x14ac:dyDescent="0.25">
      <c r="B20" s="13" t="s">
        <v>98</v>
      </c>
      <c r="C20" s="8">
        <v>11.625</v>
      </c>
      <c r="D20" s="8">
        <v>8.75</v>
      </c>
      <c r="E20" s="8">
        <v>8.125</v>
      </c>
      <c r="F20" s="8">
        <v>7.625</v>
      </c>
      <c r="G20" s="8">
        <v>8.25</v>
      </c>
      <c r="H20" s="8">
        <v>3.125</v>
      </c>
      <c r="I20" s="8">
        <v>3.25</v>
      </c>
      <c r="J20" s="8">
        <v>9.375</v>
      </c>
      <c r="K20" s="8">
        <v>3.875</v>
      </c>
      <c r="L20" s="8">
        <v>4.875</v>
      </c>
      <c r="M20" s="8">
        <v>7.375</v>
      </c>
      <c r="N20" s="9">
        <v>1.75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1</v>
      </c>
    </row>
    <row r="21" spans="2:27" x14ac:dyDescent="0.25">
      <c r="B21" s="13" t="s">
        <v>100</v>
      </c>
      <c r="C21" s="8">
        <v>10.5</v>
      </c>
      <c r="D21" s="8">
        <v>3.75</v>
      </c>
      <c r="E21" s="8">
        <v>8.5</v>
      </c>
      <c r="F21" s="8">
        <v>6.625</v>
      </c>
      <c r="G21" s="8">
        <v>4</v>
      </c>
      <c r="H21" s="9">
        <v>2.25</v>
      </c>
      <c r="I21" s="8">
        <v>8.875</v>
      </c>
      <c r="J21" s="8">
        <v>7.125</v>
      </c>
      <c r="K21" s="8">
        <v>8.75</v>
      </c>
      <c r="L21" s="8">
        <v>5.125</v>
      </c>
      <c r="M21" s="8">
        <v>7.875</v>
      </c>
      <c r="N21" s="8">
        <v>4.625</v>
      </c>
      <c r="P21">
        <f t="shared" si="1"/>
        <v>0</v>
      </c>
      <c r="Q21">
        <f t="shared" si="1"/>
        <v>0</v>
      </c>
      <c r="R21">
        <f t="shared" si="1"/>
        <v>0</v>
      </c>
      <c r="S21">
        <f t="shared" si="1"/>
        <v>0</v>
      </c>
      <c r="T21">
        <f t="shared" si="1"/>
        <v>0</v>
      </c>
      <c r="U21">
        <f t="shared" si="1"/>
        <v>1</v>
      </c>
      <c r="V21">
        <f t="shared" si="1"/>
        <v>0</v>
      </c>
      <c r="W21">
        <f t="shared" si="1"/>
        <v>0</v>
      </c>
      <c r="X21">
        <f t="shared" si="1"/>
        <v>0</v>
      </c>
      <c r="Y21">
        <f t="shared" si="1"/>
        <v>0</v>
      </c>
      <c r="Z21">
        <f t="shared" si="1"/>
        <v>0</v>
      </c>
      <c r="AA21">
        <f t="shared" si="1"/>
        <v>0</v>
      </c>
    </row>
    <row r="22" spans="2:27" x14ac:dyDescent="0.25">
      <c r="B22" s="13" t="s">
        <v>102</v>
      </c>
      <c r="C22" s="8">
        <v>4.9375</v>
      </c>
      <c r="D22" s="8">
        <v>6.9375</v>
      </c>
      <c r="E22" s="8">
        <v>7.4375</v>
      </c>
      <c r="F22" s="8">
        <v>6.75</v>
      </c>
      <c r="G22" s="9">
        <v>4.5625</v>
      </c>
      <c r="H22" s="8">
        <v>5.5625</v>
      </c>
      <c r="I22" s="8">
        <v>7.5625</v>
      </c>
      <c r="J22" s="8">
        <v>5.875</v>
      </c>
      <c r="K22" s="8">
        <v>8.25</v>
      </c>
      <c r="L22" s="8">
        <v>6</v>
      </c>
      <c r="M22" s="8">
        <v>7.6875</v>
      </c>
      <c r="N22" s="8">
        <v>6.4375</v>
      </c>
      <c r="P22">
        <f t="shared" si="1"/>
        <v>0</v>
      </c>
      <c r="Q22">
        <f t="shared" si="1"/>
        <v>0</v>
      </c>
      <c r="R22">
        <f t="shared" si="1"/>
        <v>0</v>
      </c>
      <c r="S22">
        <f t="shared" si="1"/>
        <v>0</v>
      </c>
      <c r="T22">
        <f t="shared" si="1"/>
        <v>1</v>
      </c>
      <c r="U22">
        <f t="shared" si="1"/>
        <v>0</v>
      </c>
      <c r="V22">
        <f t="shared" si="1"/>
        <v>0</v>
      </c>
      <c r="W22">
        <f t="shared" si="1"/>
        <v>0</v>
      </c>
      <c r="X22">
        <f t="shared" si="1"/>
        <v>0</v>
      </c>
      <c r="Y22">
        <f t="shared" si="1"/>
        <v>0</v>
      </c>
      <c r="Z22">
        <f t="shared" si="1"/>
        <v>0</v>
      </c>
      <c r="AA22">
        <f t="shared" si="1"/>
        <v>0</v>
      </c>
    </row>
    <row r="23" spans="2:27" x14ac:dyDescent="0.25">
      <c r="B23" s="13" t="s">
        <v>104</v>
      </c>
      <c r="C23" s="8">
        <v>11.75</v>
      </c>
      <c r="D23" s="8">
        <v>4.625</v>
      </c>
      <c r="E23" s="8">
        <v>3.375</v>
      </c>
      <c r="F23" s="9">
        <v>2.375</v>
      </c>
      <c r="G23" s="8">
        <v>9.75</v>
      </c>
      <c r="H23" s="8">
        <v>4.5</v>
      </c>
      <c r="I23" s="8">
        <v>6.25</v>
      </c>
      <c r="J23" s="8">
        <v>11</v>
      </c>
      <c r="K23" s="8">
        <v>5.5</v>
      </c>
      <c r="L23" s="8">
        <v>6.25</v>
      </c>
      <c r="M23" s="8">
        <v>7.375</v>
      </c>
      <c r="N23" s="8">
        <v>5.25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1</v>
      </c>
      <c r="T23">
        <f t="shared" si="1"/>
        <v>0</v>
      </c>
      <c r="U23">
        <f t="shared" si="1"/>
        <v>0</v>
      </c>
      <c r="V23">
        <f t="shared" si="1"/>
        <v>0</v>
      </c>
      <c r="W23">
        <f t="shared" si="1"/>
        <v>0</v>
      </c>
      <c r="X23">
        <f t="shared" si="1"/>
        <v>0</v>
      </c>
      <c r="Y23">
        <f t="shared" si="1"/>
        <v>0</v>
      </c>
      <c r="Z23">
        <f t="shared" si="1"/>
        <v>0</v>
      </c>
      <c r="AA23">
        <f t="shared" si="1"/>
        <v>0</v>
      </c>
    </row>
    <row r="24" spans="2:27" x14ac:dyDescent="0.25">
      <c r="B24" s="13" t="s">
        <v>106</v>
      </c>
      <c r="C24" s="8">
        <v>8.75</v>
      </c>
      <c r="D24" s="8">
        <v>5</v>
      </c>
      <c r="E24" s="8">
        <v>6.875</v>
      </c>
      <c r="F24" s="8">
        <v>5.125</v>
      </c>
      <c r="G24" s="9">
        <v>3.75</v>
      </c>
      <c r="H24" s="8">
        <v>5</v>
      </c>
      <c r="I24" s="8">
        <v>7.125</v>
      </c>
      <c r="J24" s="8">
        <v>9.375</v>
      </c>
      <c r="K24" s="8">
        <v>7.25</v>
      </c>
      <c r="L24" s="8">
        <v>7.5</v>
      </c>
      <c r="M24" s="8">
        <v>6.75</v>
      </c>
      <c r="N24" s="8">
        <v>5.5</v>
      </c>
      <c r="P24">
        <f t="shared" si="1"/>
        <v>0</v>
      </c>
      <c r="Q24">
        <f t="shared" si="1"/>
        <v>0</v>
      </c>
      <c r="R24">
        <f t="shared" si="1"/>
        <v>0</v>
      </c>
      <c r="S24">
        <f t="shared" si="1"/>
        <v>0</v>
      </c>
      <c r="T24">
        <f t="shared" si="1"/>
        <v>1</v>
      </c>
      <c r="U24">
        <f t="shared" si="1"/>
        <v>0</v>
      </c>
      <c r="V24">
        <f t="shared" si="1"/>
        <v>0</v>
      </c>
      <c r="W24">
        <f t="shared" si="1"/>
        <v>0</v>
      </c>
      <c r="X24">
        <f t="shared" si="1"/>
        <v>0</v>
      </c>
      <c r="Y24">
        <f t="shared" si="1"/>
        <v>0</v>
      </c>
      <c r="Z24">
        <f t="shared" si="1"/>
        <v>0</v>
      </c>
      <c r="AA24">
        <f t="shared" si="1"/>
        <v>0</v>
      </c>
    </row>
    <row r="25" spans="2:27" x14ac:dyDescent="0.25">
      <c r="B25" s="13" t="s">
        <v>108</v>
      </c>
      <c r="C25" s="8">
        <v>8.5625</v>
      </c>
      <c r="D25" s="8">
        <v>6.1875</v>
      </c>
      <c r="E25" s="8">
        <v>5.25</v>
      </c>
      <c r="F25" s="9">
        <v>2.9375</v>
      </c>
      <c r="G25" s="8">
        <v>8.25</v>
      </c>
      <c r="H25" s="8">
        <v>4.5625</v>
      </c>
      <c r="I25" s="8">
        <v>3.1875</v>
      </c>
      <c r="J25" s="8">
        <v>9.6875</v>
      </c>
      <c r="K25" s="8">
        <v>6.25</v>
      </c>
      <c r="L25" s="8">
        <v>9.1875</v>
      </c>
      <c r="M25" s="8">
        <v>7.6875</v>
      </c>
      <c r="N25" s="8">
        <v>6.25</v>
      </c>
      <c r="P25">
        <f t="shared" si="1"/>
        <v>0</v>
      </c>
      <c r="Q25">
        <f t="shared" si="1"/>
        <v>0</v>
      </c>
      <c r="R25">
        <f t="shared" si="1"/>
        <v>0</v>
      </c>
      <c r="S25">
        <f t="shared" si="1"/>
        <v>1</v>
      </c>
      <c r="T25">
        <f t="shared" si="1"/>
        <v>0</v>
      </c>
      <c r="U25">
        <f t="shared" si="1"/>
        <v>0</v>
      </c>
      <c r="V25">
        <f t="shared" si="1"/>
        <v>0</v>
      </c>
      <c r="W25">
        <f t="shared" si="1"/>
        <v>0</v>
      </c>
      <c r="X25">
        <f t="shared" si="1"/>
        <v>0</v>
      </c>
      <c r="Y25">
        <f t="shared" si="1"/>
        <v>0</v>
      </c>
      <c r="Z25">
        <f t="shared" si="1"/>
        <v>0</v>
      </c>
      <c r="AA25">
        <f t="shared" si="1"/>
        <v>0</v>
      </c>
    </row>
    <row r="26" spans="2:27" x14ac:dyDescent="0.25">
      <c r="B26" s="13" t="s">
        <v>110</v>
      </c>
      <c r="C26" s="8">
        <v>11.625</v>
      </c>
      <c r="D26" s="8">
        <v>7.0625</v>
      </c>
      <c r="E26" s="8">
        <v>5.6875</v>
      </c>
      <c r="F26" s="8">
        <v>4.25</v>
      </c>
      <c r="G26" s="8">
        <v>2.875</v>
      </c>
      <c r="H26" s="8">
        <v>4.8125</v>
      </c>
      <c r="I26" s="8">
        <v>5.375</v>
      </c>
      <c r="J26" s="8">
        <v>8.375</v>
      </c>
      <c r="K26" s="8">
        <v>7.3125</v>
      </c>
      <c r="L26" s="8">
        <v>8.125</v>
      </c>
      <c r="M26" s="8">
        <v>10.25</v>
      </c>
      <c r="N26" s="9">
        <v>2.25</v>
      </c>
      <c r="P26">
        <f t="shared" si="1"/>
        <v>0</v>
      </c>
      <c r="Q26">
        <f t="shared" si="1"/>
        <v>0</v>
      </c>
      <c r="R26">
        <f t="shared" si="1"/>
        <v>0</v>
      </c>
      <c r="S26">
        <f t="shared" si="1"/>
        <v>0</v>
      </c>
      <c r="T26">
        <f t="shared" si="1"/>
        <v>0</v>
      </c>
      <c r="U26">
        <f t="shared" si="1"/>
        <v>0</v>
      </c>
      <c r="V26">
        <f t="shared" si="1"/>
        <v>0</v>
      </c>
      <c r="W26">
        <f t="shared" si="1"/>
        <v>0</v>
      </c>
      <c r="X26">
        <f t="shared" si="1"/>
        <v>0</v>
      </c>
      <c r="Y26">
        <f t="shared" si="1"/>
        <v>0</v>
      </c>
      <c r="Z26">
        <f t="shared" si="1"/>
        <v>0</v>
      </c>
      <c r="AA26">
        <f t="shared" si="1"/>
        <v>1</v>
      </c>
    </row>
    <row r="27" spans="2:27" x14ac:dyDescent="0.25">
      <c r="B27" s="13" t="s">
        <v>112</v>
      </c>
      <c r="C27" s="8">
        <v>11.75</v>
      </c>
      <c r="D27" s="9">
        <v>1.375</v>
      </c>
      <c r="E27" s="8">
        <v>5.875</v>
      </c>
      <c r="F27" s="8">
        <v>10.125</v>
      </c>
      <c r="G27" s="8">
        <v>8.375</v>
      </c>
      <c r="H27" s="8">
        <v>4.5</v>
      </c>
      <c r="I27" s="8">
        <v>7.125</v>
      </c>
      <c r="J27" s="8">
        <v>10.25</v>
      </c>
      <c r="K27" s="8">
        <v>4.75</v>
      </c>
      <c r="L27" s="8">
        <v>2.625</v>
      </c>
      <c r="M27" s="8">
        <v>7.875</v>
      </c>
      <c r="N27" s="8">
        <v>3.375</v>
      </c>
      <c r="P27">
        <f t="shared" si="1"/>
        <v>0</v>
      </c>
      <c r="Q27">
        <f t="shared" si="1"/>
        <v>1</v>
      </c>
      <c r="R27">
        <f t="shared" si="1"/>
        <v>0</v>
      </c>
      <c r="S27">
        <f t="shared" si="1"/>
        <v>0</v>
      </c>
      <c r="T27">
        <f t="shared" si="1"/>
        <v>0</v>
      </c>
      <c r="U27">
        <f t="shared" si="1"/>
        <v>0</v>
      </c>
      <c r="V27">
        <f t="shared" si="1"/>
        <v>0</v>
      </c>
      <c r="W27">
        <f t="shared" si="1"/>
        <v>0</v>
      </c>
      <c r="X27">
        <f t="shared" si="1"/>
        <v>0</v>
      </c>
      <c r="Y27">
        <f t="shared" si="1"/>
        <v>0</v>
      </c>
      <c r="Z27">
        <f t="shared" si="1"/>
        <v>0</v>
      </c>
      <c r="AA27">
        <f t="shared" si="1"/>
        <v>0</v>
      </c>
    </row>
    <row r="28" spans="2:27" x14ac:dyDescent="0.25">
      <c r="B28" s="13" t="s">
        <v>114</v>
      </c>
      <c r="C28" s="8">
        <v>11.75</v>
      </c>
      <c r="D28" s="8">
        <v>3.25</v>
      </c>
      <c r="E28" s="8">
        <v>4.125</v>
      </c>
      <c r="F28" s="8">
        <v>6.5</v>
      </c>
      <c r="G28" s="8">
        <v>10.125</v>
      </c>
      <c r="H28" s="8">
        <v>3.75</v>
      </c>
      <c r="I28" s="8">
        <v>7.25</v>
      </c>
      <c r="J28" s="8">
        <v>10.25</v>
      </c>
      <c r="K28" s="8">
        <v>5.375</v>
      </c>
      <c r="L28" s="9">
        <v>2.5</v>
      </c>
      <c r="M28" s="8">
        <v>8.625</v>
      </c>
      <c r="N28" s="8">
        <v>4.5</v>
      </c>
      <c r="P28">
        <f t="shared" si="1"/>
        <v>0</v>
      </c>
      <c r="Q28">
        <f t="shared" si="1"/>
        <v>0</v>
      </c>
      <c r="R28">
        <f t="shared" si="1"/>
        <v>0</v>
      </c>
      <c r="S28">
        <f t="shared" si="1"/>
        <v>0</v>
      </c>
      <c r="T28">
        <f t="shared" si="1"/>
        <v>0</v>
      </c>
      <c r="U28">
        <f t="shared" si="1"/>
        <v>0</v>
      </c>
      <c r="V28">
        <f t="shared" si="1"/>
        <v>0</v>
      </c>
      <c r="W28">
        <f t="shared" si="1"/>
        <v>0</v>
      </c>
      <c r="X28">
        <f t="shared" si="1"/>
        <v>0</v>
      </c>
      <c r="Y28">
        <f t="shared" si="1"/>
        <v>1</v>
      </c>
      <c r="Z28">
        <f t="shared" si="1"/>
        <v>0</v>
      </c>
      <c r="AA28">
        <f t="shared" si="1"/>
        <v>0</v>
      </c>
    </row>
    <row r="29" spans="2:27" x14ac:dyDescent="0.25">
      <c r="B29" s="13" t="s">
        <v>116</v>
      </c>
      <c r="C29" s="8">
        <v>10.125</v>
      </c>
      <c r="D29" s="8">
        <v>4.25</v>
      </c>
      <c r="E29" s="9">
        <v>3.125</v>
      </c>
      <c r="F29" s="8">
        <v>6.375</v>
      </c>
      <c r="G29" s="8">
        <v>9.5</v>
      </c>
      <c r="H29" s="8">
        <v>5.25</v>
      </c>
      <c r="I29" s="8">
        <v>5.25</v>
      </c>
      <c r="J29" s="8">
        <v>8.125</v>
      </c>
      <c r="K29" s="8">
        <v>8.375</v>
      </c>
      <c r="L29" s="8">
        <v>4.125</v>
      </c>
      <c r="M29" s="8">
        <v>9.125</v>
      </c>
      <c r="N29" s="8">
        <v>4.375</v>
      </c>
      <c r="P29">
        <f t="shared" si="1"/>
        <v>0</v>
      </c>
      <c r="Q29">
        <f t="shared" si="1"/>
        <v>0</v>
      </c>
      <c r="R29">
        <f t="shared" si="1"/>
        <v>1</v>
      </c>
      <c r="S29">
        <f t="shared" si="1"/>
        <v>0</v>
      </c>
      <c r="T29">
        <f t="shared" si="1"/>
        <v>0</v>
      </c>
      <c r="U29">
        <f t="shared" si="1"/>
        <v>0</v>
      </c>
      <c r="V29">
        <f t="shared" si="1"/>
        <v>0</v>
      </c>
      <c r="W29">
        <f t="shared" si="1"/>
        <v>0</v>
      </c>
      <c r="X29">
        <f t="shared" si="1"/>
        <v>0</v>
      </c>
      <c r="Y29">
        <f t="shared" si="1"/>
        <v>0</v>
      </c>
      <c r="Z29">
        <f t="shared" si="1"/>
        <v>0</v>
      </c>
      <c r="AA29">
        <f t="shared" si="1"/>
        <v>0</v>
      </c>
    </row>
    <row r="30" spans="2:27" x14ac:dyDescent="0.25">
      <c r="B30" s="13" t="s">
        <v>118</v>
      </c>
      <c r="C30" s="8">
        <v>11.3125</v>
      </c>
      <c r="D30" s="8">
        <v>5.25</v>
      </c>
      <c r="E30" s="8">
        <v>4.125</v>
      </c>
      <c r="F30" s="8">
        <v>6.9375</v>
      </c>
      <c r="G30" s="8">
        <v>11.125</v>
      </c>
      <c r="H30" s="8">
        <v>5.375</v>
      </c>
      <c r="I30" s="8">
        <v>7.25</v>
      </c>
      <c r="J30" s="8">
        <v>6.375</v>
      </c>
      <c r="K30" s="8">
        <v>4.625</v>
      </c>
      <c r="L30" s="9">
        <v>1.75</v>
      </c>
      <c r="M30" s="8">
        <v>9.625</v>
      </c>
      <c r="N30" s="8">
        <v>4.25</v>
      </c>
      <c r="P30">
        <f t="shared" si="1"/>
        <v>0</v>
      </c>
      <c r="Q30">
        <f t="shared" si="1"/>
        <v>0</v>
      </c>
      <c r="R30">
        <f t="shared" si="1"/>
        <v>0</v>
      </c>
      <c r="S30">
        <f t="shared" si="1"/>
        <v>0</v>
      </c>
      <c r="T30">
        <f t="shared" si="1"/>
        <v>0</v>
      </c>
      <c r="U30">
        <f t="shared" si="1"/>
        <v>0</v>
      </c>
      <c r="V30">
        <f t="shared" si="1"/>
        <v>0</v>
      </c>
      <c r="W30">
        <f t="shared" si="1"/>
        <v>0</v>
      </c>
      <c r="X30">
        <f t="shared" si="1"/>
        <v>0</v>
      </c>
      <c r="Y30">
        <f t="shared" si="1"/>
        <v>1</v>
      </c>
      <c r="Z30">
        <f t="shared" si="1"/>
        <v>0</v>
      </c>
      <c r="AA30">
        <f t="shared" si="1"/>
        <v>0</v>
      </c>
    </row>
    <row r="31" spans="2:27" x14ac:dyDescent="0.25">
      <c r="B31" s="13" t="s">
        <v>120</v>
      </c>
      <c r="C31" s="8">
        <v>7.8125</v>
      </c>
      <c r="D31" s="8">
        <v>5.6875</v>
      </c>
      <c r="E31" s="8">
        <v>7.625</v>
      </c>
      <c r="F31" s="8">
        <v>5.625</v>
      </c>
      <c r="G31" s="8">
        <v>6.125</v>
      </c>
      <c r="H31" s="8">
        <v>4</v>
      </c>
      <c r="I31" s="8">
        <v>5.3125</v>
      </c>
      <c r="J31" s="8">
        <v>8.6875</v>
      </c>
      <c r="K31" s="8">
        <v>7.9375</v>
      </c>
      <c r="L31" s="8">
        <v>9.3125</v>
      </c>
      <c r="M31" s="8">
        <v>6.75</v>
      </c>
      <c r="N31" s="9">
        <v>3.125</v>
      </c>
      <c r="P31">
        <f t="shared" si="1"/>
        <v>0</v>
      </c>
      <c r="Q31">
        <f t="shared" si="1"/>
        <v>0</v>
      </c>
      <c r="R31">
        <f t="shared" si="1"/>
        <v>0</v>
      </c>
      <c r="S31">
        <f t="shared" si="1"/>
        <v>0</v>
      </c>
      <c r="T31">
        <f t="shared" si="1"/>
        <v>0</v>
      </c>
      <c r="U31">
        <f t="shared" si="1"/>
        <v>0</v>
      </c>
      <c r="V31">
        <f t="shared" si="1"/>
        <v>0</v>
      </c>
      <c r="W31">
        <f t="shared" si="1"/>
        <v>0</v>
      </c>
      <c r="X31">
        <f t="shared" si="1"/>
        <v>0</v>
      </c>
      <c r="Y31">
        <f t="shared" si="1"/>
        <v>0</v>
      </c>
      <c r="Z31">
        <f t="shared" si="1"/>
        <v>0</v>
      </c>
      <c r="AA31">
        <f t="shared" si="1"/>
        <v>1</v>
      </c>
    </row>
    <row r="32" spans="2:27" x14ac:dyDescent="0.25">
      <c r="B32" s="13" t="s">
        <v>122</v>
      </c>
      <c r="C32" s="8">
        <v>6.25</v>
      </c>
      <c r="D32" s="8">
        <v>6.9375</v>
      </c>
      <c r="E32" s="8">
        <v>7.125</v>
      </c>
      <c r="F32" s="8">
        <v>5.25</v>
      </c>
      <c r="G32" s="9">
        <v>4.8125</v>
      </c>
      <c r="H32" s="8">
        <v>9.1875</v>
      </c>
      <c r="I32" s="8">
        <v>5.9375</v>
      </c>
      <c r="J32" s="8">
        <v>6.25</v>
      </c>
      <c r="K32" s="8">
        <v>6.5</v>
      </c>
      <c r="L32" s="8">
        <v>6.25</v>
      </c>
      <c r="M32" s="8">
        <v>8</v>
      </c>
      <c r="N32" s="8">
        <v>5.5</v>
      </c>
      <c r="P32">
        <f t="shared" si="1"/>
        <v>0</v>
      </c>
      <c r="Q32">
        <f t="shared" si="1"/>
        <v>0</v>
      </c>
      <c r="R32">
        <f t="shared" si="1"/>
        <v>0</v>
      </c>
      <c r="S32">
        <f t="shared" si="1"/>
        <v>0</v>
      </c>
      <c r="T32">
        <f t="shared" si="1"/>
        <v>1</v>
      </c>
      <c r="U32">
        <f t="shared" si="1"/>
        <v>0</v>
      </c>
      <c r="V32">
        <f t="shared" si="1"/>
        <v>0</v>
      </c>
      <c r="W32">
        <f t="shared" si="1"/>
        <v>0</v>
      </c>
      <c r="X32">
        <f t="shared" si="1"/>
        <v>0</v>
      </c>
      <c r="Y32">
        <f t="shared" si="1"/>
        <v>0</v>
      </c>
      <c r="Z32">
        <f t="shared" si="1"/>
        <v>0</v>
      </c>
      <c r="AA32">
        <f t="shared" si="1"/>
        <v>0</v>
      </c>
    </row>
    <row r="33" spans="2:27" x14ac:dyDescent="0.25">
      <c r="B33" s="13" t="s">
        <v>124</v>
      </c>
      <c r="C33" s="8">
        <v>9.625</v>
      </c>
      <c r="D33" s="8">
        <v>4</v>
      </c>
      <c r="E33" s="9">
        <v>2.875</v>
      </c>
      <c r="F33" s="8">
        <v>7.125</v>
      </c>
      <c r="G33" s="8">
        <v>8.1875</v>
      </c>
      <c r="H33" s="9">
        <v>2.875</v>
      </c>
      <c r="I33" s="8">
        <v>6.75</v>
      </c>
      <c r="J33" s="8">
        <v>8.25</v>
      </c>
      <c r="K33" s="8">
        <v>8.375</v>
      </c>
      <c r="L33" s="8">
        <v>5</v>
      </c>
      <c r="M33" s="8">
        <v>9.6875</v>
      </c>
      <c r="N33" s="8">
        <v>5.25</v>
      </c>
      <c r="P33">
        <f t="shared" si="1"/>
        <v>0</v>
      </c>
      <c r="Q33">
        <f t="shared" si="1"/>
        <v>0</v>
      </c>
      <c r="R33">
        <f t="shared" si="1"/>
        <v>1</v>
      </c>
      <c r="S33">
        <f t="shared" si="1"/>
        <v>0</v>
      </c>
      <c r="T33">
        <f t="shared" si="1"/>
        <v>0</v>
      </c>
      <c r="U33">
        <f t="shared" si="1"/>
        <v>1</v>
      </c>
      <c r="V33">
        <f t="shared" si="1"/>
        <v>0</v>
      </c>
      <c r="W33">
        <f t="shared" si="1"/>
        <v>0</v>
      </c>
      <c r="X33">
        <f t="shared" si="1"/>
        <v>0</v>
      </c>
      <c r="Y33">
        <f t="shared" si="1"/>
        <v>0</v>
      </c>
      <c r="Z33">
        <f t="shared" si="1"/>
        <v>0</v>
      </c>
      <c r="AA33">
        <f t="shared" si="1"/>
        <v>0</v>
      </c>
    </row>
    <row r="34" spans="2:27" x14ac:dyDescent="0.25">
      <c r="B34" s="13" t="s">
        <v>126</v>
      </c>
      <c r="C34" s="8">
        <v>10.5</v>
      </c>
      <c r="D34" s="8">
        <v>5.1875</v>
      </c>
      <c r="E34" s="8">
        <v>2.625</v>
      </c>
      <c r="F34" s="8">
        <v>8.25</v>
      </c>
      <c r="G34" s="8">
        <v>9.75</v>
      </c>
      <c r="H34" s="8">
        <v>6.25</v>
      </c>
      <c r="I34" s="8">
        <v>6.125</v>
      </c>
      <c r="J34" s="8">
        <v>8.9375</v>
      </c>
      <c r="K34" s="8">
        <v>6.875</v>
      </c>
      <c r="L34" s="8">
        <v>2.75</v>
      </c>
      <c r="M34" s="8">
        <v>8.625</v>
      </c>
      <c r="N34" s="9">
        <v>2.125</v>
      </c>
      <c r="P34">
        <f t="shared" si="1"/>
        <v>0</v>
      </c>
      <c r="Q34">
        <f t="shared" si="1"/>
        <v>0</v>
      </c>
      <c r="R34">
        <f t="shared" si="1"/>
        <v>0</v>
      </c>
      <c r="S34">
        <f t="shared" si="1"/>
        <v>0</v>
      </c>
      <c r="T34">
        <f t="shared" si="1"/>
        <v>0</v>
      </c>
      <c r="U34">
        <f t="shared" si="1"/>
        <v>0</v>
      </c>
      <c r="V34">
        <f t="shared" si="1"/>
        <v>0</v>
      </c>
      <c r="W34">
        <f t="shared" si="1"/>
        <v>0</v>
      </c>
      <c r="X34">
        <f t="shared" si="1"/>
        <v>0</v>
      </c>
      <c r="Y34">
        <f t="shared" si="1"/>
        <v>0</v>
      </c>
      <c r="Z34">
        <f t="shared" si="1"/>
        <v>0</v>
      </c>
      <c r="AA34">
        <f t="shared" si="1"/>
        <v>1</v>
      </c>
    </row>
    <row r="35" spans="2:27" x14ac:dyDescent="0.25">
      <c r="B35" s="13" t="s">
        <v>128</v>
      </c>
      <c r="C35" s="8">
        <v>9.25</v>
      </c>
      <c r="D35" s="8">
        <v>7.5625</v>
      </c>
      <c r="E35" s="8">
        <v>6.375</v>
      </c>
      <c r="F35" s="8">
        <v>5.9375</v>
      </c>
      <c r="G35" s="8">
        <v>6.75</v>
      </c>
      <c r="H35" s="9">
        <v>4.375</v>
      </c>
      <c r="I35" s="8">
        <v>5.3125</v>
      </c>
      <c r="J35" s="8">
        <v>9</v>
      </c>
      <c r="K35" s="8">
        <v>6.8125</v>
      </c>
      <c r="L35" s="9">
        <v>4.375</v>
      </c>
      <c r="M35" s="8">
        <v>7.625</v>
      </c>
      <c r="N35" s="8">
        <v>4.625</v>
      </c>
      <c r="P35">
        <f t="shared" si="1"/>
        <v>0</v>
      </c>
      <c r="Q35">
        <f t="shared" si="1"/>
        <v>0</v>
      </c>
      <c r="R35">
        <f t="shared" si="1"/>
        <v>0</v>
      </c>
      <c r="S35">
        <f t="shared" si="1"/>
        <v>0</v>
      </c>
      <c r="T35">
        <f t="shared" si="1"/>
        <v>0</v>
      </c>
      <c r="U35">
        <f t="shared" si="1"/>
        <v>1</v>
      </c>
      <c r="V35">
        <f t="shared" si="1"/>
        <v>0</v>
      </c>
      <c r="W35">
        <f t="shared" si="1"/>
        <v>0</v>
      </c>
      <c r="X35">
        <f t="shared" si="1"/>
        <v>0</v>
      </c>
      <c r="Y35">
        <f t="shared" si="1"/>
        <v>1</v>
      </c>
      <c r="Z35">
        <f t="shared" si="1"/>
        <v>0</v>
      </c>
      <c r="AA35">
        <f t="shared" si="1"/>
        <v>0</v>
      </c>
    </row>
    <row r="36" spans="2:27" x14ac:dyDescent="0.25">
      <c r="B36" s="13" t="s">
        <v>130</v>
      </c>
      <c r="C36" s="8">
        <v>7.9375</v>
      </c>
      <c r="D36" s="8">
        <v>7.9375</v>
      </c>
      <c r="E36" s="8">
        <v>7.8125</v>
      </c>
      <c r="F36" s="8">
        <v>7.4375</v>
      </c>
      <c r="G36" s="8">
        <v>5</v>
      </c>
      <c r="H36" s="8">
        <v>5.25</v>
      </c>
      <c r="I36" s="8">
        <v>8.5625</v>
      </c>
      <c r="J36" s="8">
        <v>7.75</v>
      </c>
      <c r="K36" s="8">
        <v>4.4375</v>
      </c>
      <c r="L36" s="8">
        <v>4.6875</v>
      </c>
      <c r="M36" s="8">
        <v>6.875</v>
      </c>
      <c r="N36" s="9">
        <v>4.3125</v>
      </c>
      <c r="P36">
        <f t="shared" si="1"/>
        <v>0</v>
      </c>
      <c r="Q36">
        <f t="shared" si="1"/>
        <v>0</v>
      </c>
      <c r="R36">
        <f t="shared" si="1"/>
        <v>0</v>
      </c>
      <c r="S36">
        <f t="shared" si="1"/>
        <v>0</v>
      </c>
      <c r="T36">
        <f t="shared" si="1"/>
        <v>0</v>
      </c>
      <c r="U36">
        <f t="shared" si="1"/>
        <v>0</v>
      </c>
      <c r="V36">
        <f t="shared" si="1"/>
        <v>0</v>
      </c>
      <c r="W36">
        <f t="shared" si="1"/>
        <v>0</v>
      </c>
      <c r="X36">
        <f t="shared" si="1"/>
        <v>0</v>
      </c>
      <c r="Y36">
        <f t="shared" si="1"/>
        <v>0</v>
      </c>
      <c r="Z36">
        <f t="shared" si="1"/>
        <v>0</v>
      </c>
      <c r="AA36">
        <f t="shared" si="1"/>
        <v>1</v>
      </c>
    </row>
    <row r="37" spans="2:27" x14ac:dyDescent="0.25">
      <c r="B37" s="13" t="s">
        <v>132</v>
      </c>
      <c r="C37" s="8">
        <v>7.125</v>
      </c>
      <c r="D37" s="8">
        <v>5.0625</v>
      </c>
      <c r="E37" s="8">
        <v>6.625</v>
      </c>
      <c r="F37" s="8">
        <v>6.5625</v>
      </c>
      <c r="G37" s="8">
        <v>8.4375</v>
      </c>
      <c r="H37" s="9">
        <v>4.125</v>
      </c>
      <c r="I37" s="8">
        <v>7.25</v>
      </c>
      <c r="J37" s="8">
        <v>7.9375</v>
      </c>
      <c r="K37" s="8">
        <v>6.875</v>
      </c>
      <c r="L37" s="8">
        <v>7</v>
      </c>
      <c r="M37" s="8">
        <v>5.625</v>
      </c>
      <c r="N37" s="8">
        <v>5.375</v>
      </c>
      <c r="P37">
        <f t="shared" si="1"/>
        <v>0</v>
      </c>
      <c r="Q37">
        <f t="shared" si="1"/>
        <v>0</v>
      </c>
      <c r="R37">
        <f t="shared" si="1"/>
        <v>0</v>
      </c>
      <c r="S37">
        <f t="shared" si="1"/>
        <v>0</v>
      </c>
      <c r="T37">
        <f t="shared" si="1"/>
        <v>0</v>
      </c>
      <c r="U37">
        <f t="shared" si="1"/>
        <v>1</v>
      </c>
      <c r="V37">
        <f t="shared" si="1"/>
        <v>0</v>
      </c>
      <c r="W37">
        <f t="shared" si="1"/>
        <v>0</v>
      </c>
      <c r="X37">
        <f t="shared" si="1"/>
        <v>0</v>
      </c>
      <c r="Y37">
        <f t="shared" si="1"/>
        <v>0</v>
      </c>
      <c r="Z37">
        <f t="shared" si="1"/>
        <v>0</v>
      </c>
      <c r="AA37">
        <f t="shared" si="1"/>
        <v>0</v>
      </c>
    </row>
    <row r="38" spans="2:27" x14ac:dyDescent="0.25">
      <c r="B38" s="13" t="s">
        <v>134</v>
      </c>
      <c r="C38" s="8">
        <v>11.1875</v>
      </c>
      <c r="D38" s="8">
        <v>7.25</v>
      </c>
      <c r="E38" s="8">
        <v>4.75</v>
      </c>
      <c r="F38" s="8">
        <v>7.25</v>
      </c>
      <c r="G38" s="8">
        <v>4.875</v>
      </c>
      <c r="H38" s="8">
        <v>6</v>
      </c>
      <c r="I38" s="9">
        <v>3.125</v>
      </c>
      <c r="J38" s="8">
        <v>11.0625</v>
      </c>
      <c r="K38" s="8">
        <v>6.125</v>
      </c>
      <c r="L38" s="8">
        <v>4</v>
      </c>
      <c r="M38" s="8">
        <v>8.5</v>
      </c>
      <c r="N38" s="8">
        <v>3.875</v>
      </c>
      <c r="P38">
        <f t="shared" si="1"/>
        <v>0</v>
      </c>
      <c r="Q38">
        <f t="shared" si="1"/>
        <v>0</v>
      </c>
      <c r="R38">
        <f t="shared" si="1"/>
        <v>0</v>
      </c>
      <c r="S38">
        <f t="shared" si="1"/>
        <v>0</v>
      </c>
      <c r="T38">
        <f t="shared" si="1"/>
        <v>0</v>
      </c>
      <c r="U38">
        <f t="shared" si="1"/>
        <v>0</v>
      </c>
      <c r="V38">
        <f t="shared" si="1"/>
        <v>1</v>
      </c>
      <c r="W38">
        <f t="shared" si="1"/>
        <v>0</v>
      </c>
      <c r="X38">
        <f t="shared" si="1"/>
        <v>0</v>
      </c>
      <c r="Y38">
        <f t="shared" si="1"/>
        <v>0</v>
      </c>
      <c r="Z38">
        <f t="shared" si="1"/>
        <v>0</v>
      </c>
      <c r="AA38">
        <f t="shared" si="1"/>
        <v>0</v>
      </c>
    </row>
    <row r="39" spans="2:27" x14ac:dyDescent="0.25">
      <c r="B39" s="13" t="s">
        <v>136</v>
      </c>
      <c r="C39" s="8">
        <v>10.0625</v>
      </c>
      <c r="D39" s="8">
        <v>7.625</v>
      </c>
      <c r="E39" s="8">
        <v>6.0625</v>
      </c>
      <c r="F39" s="9">
        <v>3.25</v>
      </c>
      <c r="G39" s="8">
        <v>5.875</v>
      </c>
      <c r="H39" s="8">
        <v>4.4375</v>
      </c>
      <c r="I39" s="8">
        <v>6.25</v>
      </c>
      <c r="J39" s="8">
        <v>7.9375</v>
      </c>
      <c r="K39" s="8">
        <v>5.875</v>
      </c>
      <c r="L39" s="8">
        <v>8</v>
      </c>
      <c r="M39" s="8">
        <v>7.8125</v>
      </c>
      <c r="N39" s="8">
        <v>4.8125</v>
      </c>
      <c r="P39">
        <f t="shared" ref="P39:AA54" si="2">IF(C39=MIN($C39:$N39),1,0)</f>
        <v>0</v>
      </c>
      <c r="Q39">
        <f t="shared" si="2"/>
        <v>0</v>
      </c>
      <c r="R39">
        <f t="shared" si="2"/>
        <v>0</v>
      </c>
      <c r="S39">
        <f t="shared" si="2"/>
        <v>1</v>
      </c>
      <c r="T39">
        <f t="shared" si="2"/>
        <v>0</v>
      </c>
      <c r="U39">
        <f t="shared" si="2"/>
        <v>0</v>
      </c>
      <c r="V39">
        <f t="shared" si="2"/>
        <v>0</v>
      </c>
      <c r="W39">
        <f t="shared" si="2"/>
        <v>0</v>
      </c>
      <c r="X39">
        <f t="shared" si="2"/>
        <v>0</v>
      </c>
      <c r="Y39">
        <f t="shared" si="2"/>
        <v>0</v>
      </c>
      <c r="Z39">
        <f t="shared" si="2"/>
        <v>0</v>
      </c>
      <c r="AA39">
        <f t="shared" si="2"/>
        <v>0</v>
      </c>
    </row>
    <row r="40" spans="2:27" x14ac:dyDescent="0.25">
      <c r="B40" s="13" t="s">
        <v>138</v>
      </c>
      <c r="C40" s="8">
        <v>9.875</v>
      </c>
      <c r="D40" s="8">
        <v>4.875</v>
      </c>
      <c r="E40" s="8">
        <v>7</v>
      </c>
      <c r="F40" s="8">
        <v>4.875</v>
      </c>
      <c r="G40" s="9">
        <v>3.125</v>
      </c>
      <c r="H40" s="8">
        <v>6.375</v>
      </c>
      <c r="I40" s="8">
        <v>5.875</v>
      </c>
      <c r="J40" s="8">
        <v>9.375</v>
      </c>
      <c r="K40" s="8">
        <v>7.625</v>
      </c>
      <c r="L40" s="8">
        <v>6.75</v>
      </c>
      <c r="M40" s="8">
        <v>7.875</v>
      </c>
      <c r="N40" s="8">
        <v>4.375</v>
      </c>
      <c r="P40">
        <f t="shared" si="2"/>
        <v>0</v>
      </c>
      <c r="Q40">
        <f t="shared" si="2"/>
        <v>0</v>
      </c>
      <c r="R40">
        <f t="shared" si="2"/>
        <v>0</v>
      </c>
      <c r="S40">
        <f t="shared" si="2"/>
        <v>0</v>
      </c>
      <c r="T40">
        <f t="shared" si="2"/>
        <v>1</v>
      </c>
      <c r="U40">
        <f t="shared" si="2"/>
        <v>0</v>
      </c>
      <c r="V40">
        <f t="shared" si="2"/>
        <v>0</v>
      </c>
      <c r="W40">
        <f t="shared" si="2"/>
        <v>0</v>
      </c>
      <c r="X40">
        <f t="shared" si="2"/>
        <v>0</v>
      </c>
      <c r="Y40">
        <f t="shared" si="2"/>
        <v>0</v>
      </c>
      <c r="Z40">
        <f t="shared" si="2"/>
        <v>0</v>
      </c>
      <c r="AA40">
        <f t="shared" si="2"/>
        <v>0</v>
      </c>
    </row>
    <row r="41" spans="2:27" x14ac:dyDescent="0.25">
      <c r="B41" s="13" t="s">
        <v>140</v>
      </c>
      <c r="C41" s="8">
        <v>9</v>
      </c>
      <c r="D41" s="8">
        <v>2</v>
      </c>
      <c r="E41" s="8">
        <v>8.0625</v>
      </c>
      <c r="F41" s="8">
        <v>7.625</v>
      </c>
      <c r="G41" s="8">
        <v>7.125</v>
      </c>
      <c r="H41" s="8">
        <v>6.3125</v>
      </c>
      <c r="I41" s="8">
        <v>4.125</v>
      </c>
      <c r="J41" s="8">
        <v>7.25</v>
      </c>
      <c r="K41" s="8">
        <v>8.8125</v>
      </c>
      <c r="L41" s="8">
        <v>9.875</v>
      </c>
      <c r="M41" s="8">
        <v>6.6875</v>
      </c>
      <c r="N41" s="9">
        <v>1.125</v>
      </c>
      <c r="P41">
        <f t="shared" si="2"/>
        <v>0</v>
      </c>
      <c r="Q41">
        <f t="shared" si="2"/>
        <v>0</v>
      </c>
      <c r="R41">
        <f t="shared" si="2"/>
        <v>0</v>
      </c>
      <c r="S41">
        <f t="shared" si="2"/>
        <v>0</v>
      </c>
      <c r="T41">
        <f t="shared" si="2"/>
        <v>0</v>
      </c>
      <c r="U41">
        <f t="shared" si="2"/>
        <v>0</v>
      </c>
      <c r="V41">
        <f t="shared" si="2"/>
        <v>0</v>
      </c>
      <c r="W41">
        <f t="shared" si="2"/>
        <v>0</v>
      </c>
      <c r="X41">
        <f t="shared" si="2"/>
        <v>0</v>
      </c>
      <c r="Y41">
        <f t="shared" si="2"/>
        <v>0</v>
      </c>
      <c r="Z41">
        <f t="shared" si="2"/>
        <v>0</v>
      </c>
      <c r="AA41">
        <f t="shared" si="2"/>
        <v>1</v>
      </c>
    </row>
    <row r="42" spans="2:27" x14ac:dyDescent="0.25">
      <c r="B42" s="13" t="s">
        <v>142</v>
      </c>
      <c r="C42" s="8">
        <v>9.9375</v>
      </c>
      <c r="D42" s="8">
        <v>4.375</v>
      </c>
      <c r="E42" s="8">
        <v>4.5</v>
      </c>
      <c r="F42" s="8">
        <v>7.1875</v>
      </c>
      <c r="G42" s="8">
        <v>7.8125</v>
      </c>
      <c r="H42" s="9">
        <v>3.25</v>
      </c>
      <c r="I42" s="8">
        <v>5.5</v>
      </c>
      <c r="J42" s="8">
        <v>9.1875</v>
      </c>
      <c r="K42" s="8">
        <v>7.75</v>
      </c>
      <c r="L42" s="8">
        <v>5</v>
      </c>
      <c r="M42" s="8">
        <v>9.75</v>
      </c>
      <c r="N42" s="8">
        <v>3.75</v>
      </c>
      <c r="P42">
        <f t="shared" si="2"/>
        <v>0</v>
      </c>
      <c r="Q42">
        <f t="shared" si="2"/>
        <v>0</v>
      </c>
      <c r="R42">
        <f t="shared" si="2"/>
        <v>0</v>
      </c>
      <c r="S42">
        <f t="shared" si="2"/>
        <v>0</v>
      </c>
      <c r="T42">
        <f t="shared" si="2"/>
        <v>0</v>
      </c>
      <c r="U42">
        <f t="shared" si="2"/>
        <v>1</v>
      </c>
      <c r="V42">
        <f t="shared" si="2"/>
        <v>0</v>
      </c>
      <c r="W42">
        <f t="shared" si="2"/>
        <v>0</v>
      </c>
      <c r="X42">
        <f t="shared" si="2"/>
        <v>0</v>
      </c>
      <c r="Y42">
        <f t="shared" si="2"/>
        <v>0</v>
      </c>
      <c r="Z42">
        <f t="shared" si="2"/>
        <v>0</v>
      </c>
      <c r="AA42">
        <f t="shared" si="2"/>
        <v>0</v>
      </c>
    </row>
    <row r="43" spans="2:27" x14ac:dyDescent="0.25">
      <c r="B43" s="13" t="s">
        <v>144</v>
      </c>
      <c r="C43" s="8">
        <v>11.25</v>
      </c>
      <c r="D43" s="8">
        <v>8.625</v>
      </c>
      <c r="E43" s="8">
        <v>4.25</v>
      </c>
      <c r="F43" s="8">
        <v>6.125</v>
      </c>
      <c r="G43" s="8">
        <v>8</v>
      </c>
      <c r="H43" s="8">
        <v>4.25</v>
      </c>
      <c r="I43" s="8">
        <v>6.125</v>
      </c>
      <c r="J43" s="8">
        <v>8</v>
      </c>
      <c r="K43" s="9">
        <v>3.5</v>
      </c>
      <c r="L43" s="8">
        <v>4.5</v>
      </c>
      <c r="M43" s="8">
        <v>9.625</v>
      </c>
      <c r="N43" s="8">
        <v>3.75</v>
      </c>
      <c r="P43">
        <f t="shared" si="2"/>
        <v>0</v>
      </c>
      <c r="Q43">
        <f t="shared" si="2"/>
        <v>0</v>
      </c>
      <c r="R43">
        <f t="shared" si="2"/>
        <v>0</v>
      </c>
      <c r="S43">
        <f t="shared" si="2"/>
        <v>0</v>
      </c>
      <c r="T43">
        <f t="shared" si="2"/>
        <v>0</v>
      </c>
      <c r="U43">
        <f t="shared" si="2"/>
        <v>0</v>
      </c>
      <c r="V43">
        <f t="shared" si="2"/>
        <v>0</v>
      </c>
      <c r="W43">
        <f t="shared" si="2"/>
        <v>0</v>
      </c>
      <c r="X43">
        <f t="shared" si="2"/>
        <v>1</v>
      </c>
      <c r="Y43">
        <f t="shared" si="2"/>
        <v>0</v>
      </c>
      <c r="Z43">
        <f t="shared" si="2"/>
        <v>0</v>
      </c>
      <c r="AA43">
        <f t="shared" si="2"/>
        <v>0</v>
      </c>
    </row>
    <row r="44" spans="2:27" x14ac:dyDescent="0.25">
      <c r="B44" s="13" t="s">
        <v>146</v>
      </c>
      <c r="C44" s="8">
        <v>11.4375</v>
      </c>
      <c r="D44" s="8">
        <v>6.375</v>
      </c>
      <c r="E44" s="8">
        <v>4.9375</v>
      </c>
      <c r="F44" s="8">
        <v>4.875</v>
      </c>
      <c r="G44" s="8">
        <v>4.625</v>
      </c>
      <c r="H44" s="8">
        <v>5.625</v>
      </c>
      <c r="I44" s="8">
        <v>4.125</v>
      </c>
      <c r="J44" s="8">
        <v>11.3125</v>
      </c>
      <c r="K44" s="8">
        <v>6.5625</v>
      </c>
      <c r="L44" s="8">
        <v>5.75</v>
      </c>
      <c r="M44" s="8">
        <v>8.5</v>
      </c>
      <c r="N44" s="9">
        <v>3.875</v>
      </c>
      <c r="P44">
        <f t="shared" si="2"/>
        <v>0</v>
      </c>
      <c r="Q44">
        <f t="shared" si="2"/>
        <v>0</v>
      </c>
      <c r="R44">
        <f t="shared" si="2"/>
        <v>0</v>
      </c>
      <c r="S44">
        <f t="shared" si="2"/>
        <v>0</v>
      </c>
      <c r="T44">
        <f t="shared" si="2"/>
        <v>0</v>
      </c>
      <c r="U44">
        <f t="shared" si="2"/>
        <v>0</v>
      </c>
      <c r="V44">
        <f t="shared" si="2"/>
        <v>0</v>
      </c>
      <c r="W44">
        <f t="shared" si="2"/>
        <v>0</v>
      </c>
      <c r="X44">
        <f t="shared" si="2"/>
        <v>0</v>
      </c>
      <c r="Y44">
        <f t="shared" si="2"/>
        <v>0</v>
      </c>
      <c r="Z44">
        <f t="shared" si="2"/>
        <v>0</v>
      </c>
      <c r="AA44">
        <f t="shared" si="2"/>
        <v>1</v>
      </c>
    </row>
    <row r="45" spans="2:27" x14ac:dyDescent="0.25">
      <c r="B45" s="13" t="s">
        <v>148</v>
      </c>
      <c r="C45" s="8">
        <v>11</v>
      </c>
      <c r="D45" s="8">
        <v>6.875</v>
      </c>
      <c r="E45" s="8">
        <v>6.875</v>
      </c>
      <c r="F45" s="8">
        <v>4.125</v>
      </c>
      <c r="G45" s="8">
        <v>9.625</v>
      </c>
      <c r="H45" s="8">
        <v>4.5</v>
      </c>
      <c r="I45" s="8">
        <v>7.625</v>
      </c>
      <c r="J45" s="8">
        <v>8</v>
      </c>
      <c r="K45" s="8">
        <v>5.75</v>
      </c>
      <c r="L45" s="8">
        <v>2.875</v>
      </c>
      <c r="M45" s="8">
        <v>9.625</v>
      </c>
      <c r="N45" s="9">
        <v>1.125</v>
      </c>
      <c r="P45">
        <f t="shared" si="2"/>
        <v>0</v>
      </c>
      <c r="Q45">
        <f t="shared" si="2"/>
        <v>0</v>
      </c>
      <c r="R45">
        <f t="shared" si="2"/>
        <v>0</v>
      </c>
      <c r="S45">
        <f t="shared" si="2"/>
        <v>0</v>
      </c>
      <c r="T45">
        <f t="shared" si="2"/>
        <v>0</v>
      </c>
      <c r="U45">
        <f t="shared" si="2"/>
        <v>0</v>
      </c>
      <c r="V45">
        <f t="shared" si="2"/>
        <v>0</v>
      </c>
      <c r="W45">
        <f t="shared" si="2"/>
        <v>0</v>
      </c>
      <c r="X45">
        <f t="shared" si="2"/>
        <v>0</v>
      </c>
      <c r="Y45">
        <f t="shared" si="2"/>
        <v>0</v>
      </c>
      <c r="Z45">
        <f t="shared" si="2"/>
        <v>0</v>
      </c>
      <c r="AA45">
        <f t="shared" si="2"/>
        <v>1</v>
      </c>
    </row>
    <row r="46" spans="2:27" x14ac:dyDescent="0.25">
      <c r="B46" s="13" t="s">
        <v>150</v>
      </c>
      <c r="C46" s="8">
        <v>6.1875</v>
      </c>
      <c r="D46" s="8">
        <v>10.75</v>
      </c>
      <c r="E46" s="8">
        <v>6.625</v>
      </c>
      <c r="F46" s="8">
        <v>6.6875</v>
      </c>
      <c r="G46" s="8">
        <v>7.5625</v>
      </c>
      <c r="H46" s="8">
        <v>4.9375</v>
      </c>
      <c r="I46" s="9">
        <v>2.375</v>
      </c>
      <c r="J46" s="8">
        <v>6.4375</v>
      </c>
      <c r="K46" s="8">
        <v>6.75</v>
      </c>
      <c r="L46" s="8">
        <v>7.4375</v>
      </c>
      <c r="M46" s="8">
        <v>6.1875</v>
      </c>
      <c r="N46" s="8">
        <v>6.0625</v>
      </c>
      <c r="P46">
        <f t="shared" si="2"/>
        <v>0</v>
      </c>
      <c r="Q46">
        <f t="shared" si="2"/>
        <v>0</v>
      </c>
      <c r="R46">
        <f t="shared" si="2"/>
        <v>0</v>
      </c>
      <c r="S46">
        <f t="shared" si="2"/>
        <v>0</v>
      </c>
      <c r="T46">
        <f t="shared" si="2"/>
        <v>0</v>
      </c>
      <c r="U46">
        <f t="shared" si="2"/>
        <v>0</v>
      </c>
      <c r="V46">
        <f t="shared" si="2"/>
        <v>1</v>
      </c>
      <c r="W46">
        <f t="shared" si="2"/>
        <v>0</v>
      </c>
      <c r="X46">
        <f t="shared" si="2"/>
        <v>0</v>
      </c>
      <c r="Y46">
        <f t="shared" si="2"/>
        <v>0</v>
      </c>
      <c r="Z46">
        <f t="shared" si="2"/>
        <v>0</v>
      </c>
      <c r="AA46">
        <f t="shared" si="2"/>
        <v>0</v>
      </c>
    </row>
    <row r="47" spans="2:27" x14ac:dyDescent="0.25">
      <c r="B47" s="13" t="s">
        <v>152</v>
      </c>
      <c r="C47" s="8">
        <v>8.4375</v>
      </c>
      <c r="D47" s="9">
        <v>4</v>
      </c>
      <c r="E47" s="8">
        <v>6.875</v>
      </c>
      <c r="F47" s="8">
        <v>4.6875</v>
      </c>
      <c r="G47" s="8">
        <v>4.5625</v>
      </c>
      <c r="H47" s="8">
        <v>6.125</v>
      </c>
      <c r="I47" s="8">
        <v>9.5</v>
      </c>
      <c r="J47" s="8">
        <v>8.3125</v>
      </c>
      <c r="K47" s="8">
        <v>7.875</v>
      </c>
      <c r="L47" s="8">
        <v>5</v>
      </c>
      <c r="M47" s="8">
        <v>7.25</v>
      </c>
      <c r="N47" s="8">
        <v>5.375</v>
      </c>
      <c r="P47">
        <f t="shared" si="2"/>
        <v>0</v>
      </c>
      <c r="Q47">
        <f t="shared" si="2"/>
        <v>1</v>
      </c>
      <c r="R47">
        <f t="shared" si="2"/>
        <v>0</v>
      </c>
      <c r="S47">
        <f t="shared" si="2"/>
        <v>0</v>
      </c>
      <c r="T47">
        <f t="shared" si="2"/>
        <v>0</v>
      </c>
      <c r="U47">
        <f t="shared" si="2"/>
        <v>0</v>
      </c>
      <c r="V47">
        <f t="shared" si="2"/>
        <v>0</v>
      </c>
      <c r="W47">
        <f t="shared" si="2"/>
        <v>0</v>
      </c>
      <c r="X47">
        <f t="shared" si="2"/>
        <v>0</v>
      </c>
      <c r="Y47">
        <f t="shared" si="2"/>
        <v>0</v>
      </c>
      <c r="Z47">
        <f t="shared" si="2"/>
        <v>0</v>
      </c>
      <c r="AA47">
        <f t="shared" si="2"/>
        <v>0</v>
      </c>
    </row>
    <row r="48" spans="2:27" x14ac:dyDescent="0.25">
      <c r="B48" s="13" t="s">
        <v>154</v>
      </c>
      <c r="C48" s="8">
        <v>8.0625</v>
      </c>
      <c r="D48" s="8">
        <v>5.875</v>
      </c>
      <c r="E48" s="8">
        <v>5.875</v>
      </c>
      <c r="F48" s="8">
        <v>5.5</v>
      </c>
      <c r="G48" s="9">
        <v>4.1875</v>
      </c>
      <c r="H48" s="8">
        <v>6.5</v>
      </c>
      <c r="I48" s="8">
        <v>5.125</v>
      </c>
      <c r="J48" s="8">
        <v>7.75</v>
      </c>
      <c r="K48" s="8">
        <v>5.625</v>
      </c>
      <c r="L48" s="8">
        <v>7.625</v>
      </c>
      <c r="M48" s="8">
        <v>9.6875</v>
      </c>
      <c r="N48" s="8">
        <v>6.1875</v>
      </c>
      <c r="P48">
        <f t="shared" si="2"/>
        <v>0</v>
      </c>
      <c r="Q48">
        <f t="shared" si="2"/>
        <v>0</v>
      </c>
      <c r="R48">
        <f t="shared" si="2"/>
        <v>0</v>
      </c>
      <c r="S48">
        <f t="shared" si="2"/>
        <v>0</v>
      </c>
      <c r="T48">
        <f t="shared" si="2"/>
        <v>1</v>
      </c>
      <c r="U48">
        <f t="shared" si="2"/>
        <v>0</v>
      </c>
      <c r="V48">
        <f t="shared" si="2"/>
        <v>0</v>
      </c>
      <c r="W48">
        <f t="shared" si="2"/>
        <v>0</v>
      </c>
      <c r="X48">
        <f t="shared" si="2"/>
        <v>0</v>
      </c>
      <c r="Y48">
        <f t="shared" si="2"/>
        <v>0</v>
      </c>
      <c r="Z48">
        <f t="shared" si="2"/>
        <v>0</v>
      </c>
      <c r="AA48">
        <f t="shared" si="2"/>
        <v>0</v>
      </c>
    </row>
    <row r="49" spans="2:27" x14ac:dyDescent="0.25">
      <c r="B49" s="13" t="s">
        <v>156</v>
      </c>
      <c r="C49" s="8">
        <v>7.75</v>
      </c>
      <c r="D49" s="8">
        <v>3.5</v>
      </c>
      <c r="E49" s="9">
        <v>3</v>
      </c>
      <c r="F49" s="8">
        <v>4.75</v>
      </c>
      <c r="G49" s="8">
        <v>8.125</v>
      </c>
      <c r="H49" s="8">
        <v>4.1875</v>
      </c>
      <c r="I49" s="8">
        <v>8.6875</v>
      </c>
      <c r="J49" s="8">
        <v>8.625</v>
      </c>
      <c r="K49" s="8">
        <v>8.3125</v>
      </c>
      <c r="L49" s="8">
        <v>6.4375</v>
      </c>
      <c r="M49" s="8">
        <v>8.625</v>
      </c>
      <c r="N49" s="8">
        <v>6</v>
      </c>
      <c r="P49">
        <f t="shared" si="2"/>
        <v>0</v>
      </c>
      <c r="Q49">
        <f t="shared" si="2"/>
        <v>0</v>
      </c>
      <c r="R49">
        <f t="shared" si="2"/>
        <v>1</v>
      </c>
      <c r="S49">
        <f t="shared" si="2"/>
        <v>0</v>
      </c>
      <c r="T49">
        <f t="shared" si="2"/>
        <v>0</v>
      </c>
      <c r="U49">
        <f t="shared" si="2"/>
        <v>0</v>
      </c>
      <c r="V49">
        <f t="shared" si="2"/>
        <v>0</v>
      </c>
      <c r="W49">
        <f t="shared" si="2"/>
        <v>0</v>
      </c>
      <c r="X49">
        <f t="shared" si="2"/>
        <v>0</v>
      </c>
      <c r="Y49">
        <f t="shared" si="2"/>
        <v>0</v>
      </c>
      <c r="Z49">
        <f t="shared" si="2"/>
        <v>0</v>
      </c>
      <c r="AA49">
        <f t="shared" si="2"/>
        <v>0</v>
      </c>
    </row>
    <row r="50" spans="2:27" x14ac:dyDescent="0.25">
      <c r="B50" s="13" t="s">
        <v>158</v>
      </c>
      <c r="C50" s="8">
        <v>10.625</v>
      </c>
      <c r="D50" s="8">
        <v>3.25</v>
      </c>
      <c r="E50" s="8">
        <v>4.75</v>
      </c>
      <c r="F50" s="8">
        <v>5.5625</v>
      </c>
      <c r="G50" s="8">
        <v>6.375</v>
      </c>
      <c r="H50" s="9">
        <v>3.125</v>
      </c>
      <c r="I50" s="8">
        <v>5.625</v>
      </c>
      <c r="J50" s="8">
        <v>8.625</v>
      </c>
      <c r="K50" s="8">
        <v>8.4375</v>
      </c>
      <c r="L50" s="8">
        <v>7.875</v>
      </c>
      <c r="M50" s="8">
        <v>9.125</v>
      </c>
      <c r="N50" s="8">
        <v>4.625</v>
      </c>
      <c r="P50">
        <f t="shared" si="2"/>
        <v>0</v>
      </c>
      <c r="Q50">
        <f t="shared" si="2"/>
        <v>0</v>
      </c>
      <c r="R50">
        <f t="shared" si="2"/>
        <v>0</v>
      </c>
      <c r="S50">
        <f t="shared" si="2"/>
        <v>0</v>
      </c>
      <c r="T50">
        <f t="shared" si="2"/>
        <v>0</v>
      </c>
      <c r="U50">
        <f t="shared" si="2"/>
        <v>1</v>
      </c>
      <c r="V50">
        <f t="shared" si="2"/>
        <v>0</v>
      </c>
      <c r="W50">
        <f t="shared" si="2"/>
        <v>0</v>
      </c>
      <c r="X50">
        <f t="shared" si="2"/>
        <v>0</v>
      </c>
      <c r="Y50">
        <f t="shared" si="2"/>
        <v>0</v>
      </c>
      <c r="Z50">
        <f t="shared" si="2"/>
        <v>0</v>
      </c>
      <c r="AA50">
        <f t="shared" si="2"/>
        <v>0</v>
      </c>
    </row>
    <row r="51" spans="2:27" x14ac:dyDescent="0.25">
      <c r="B51" s="13" t="s">
        <v>160</v>
      </c>
      <c r="C51" s="8">
        <v>7.8125</v>
      </c>
      <c r="D51" s="9">
        <v>4.9375</v>
      </c>
      <c r="E51" s="8">
        <v>6.3125</v>
      </c>
      <c r="F51" s="8">
        <v>6.0625</v>
      </c>
      <c r="G51" s="8">
        <v>6.75</v>
      </c>
      <c r="H51" s="8">
        <v>6.1875</v>
      </c>
      <c r="I51" s="8">
        <v>5.625</v>
      </c>
      <c r="J51" s="8">
        <v>5.4375</v>
      </c>
      <c r="K51" s="8">
        <v>5.1875</v>
      </c>
      <c r="L51" s="8">
        <v>8.625</v>
      </c>
      <c r="M51" s="8">
        <v>9.3125</v>
      </c>
      <c r="N51" s="8">
        <v>5.75</v>
      </c>
      <c r="P51">
        <f t="shared" si="2"/>
        <v>0</v>
      </c>
      <c r="Q51">
        <f t="shared" si="2"/>
        <v>1</v>
      </c>
      <c r="R51">
        <f t="shared" si="2"/>
        <v>0</v>
      </c>
      <c r="S51">
        <f t="shared" si="2"/>
        <v>0</v>
      </c>
      <c r="T51">
        <f t="shared" si="2"/>
        <v>0</v>
      </c>
      <c r="U51">
        <f t="shared" si="2"/>
        <v>0</v>
      </c>
      <c r="V51">
        <f t="shared" si="2"/>
        <v>0</v>
      </c>
      <c r="W51">
        <f t="shared" si="2"/>
        <v>0</v>
      </c>
      <c r="X51">
        <f t="shared" si="2"/>
        <v>0</v>
      </c>
      <c r="Y51">
        <f t="shared" si="2"/>
        <v>0</v>
      </c>
      <c r="Z51">
        <f t="shared" si="2"/>
        <v>0</v>
      </c>
      <c r="AA51">
        <f t="shared" si="2"/>
        <v>0</v>
      </c>
    </row>
    <row r="52" spans="2:27" x14ac:dyDescent="0.25">
      <c r="B52" s="13" t="s">
        <v>162</v>
      </c>
      <c r="C52" s="8">
        <v>9.25</v>
      </c>
      <c r="D52" s="8">
        <v>8.5</v>
      </c>
      <c r="E52" s="8">
        <v>5.5</v>
      </c>
      <c r="F52" s="8">
        <v>5.0625</v>
      </c>
      <c r="G52" s="8">
        <v>3.6875</v>
      </c>
      <c r="H52" s="8">
        <v>5.5</v>
      </c>
      <c r="I52" s="8">
        <v>8.125</v>
      </c>
      <c r="J52" s="8">
        <v>7.5</v>
      </c>
      <c r="K52" s="8">
        <v>5.1875</v>
      </c>
      <c r="L52" s="8">
        <v>8.625</v>
      </c>
      <c r="M52" s="8">
        <v>8.25</v>
      </c>
      <c r="N52" s="9">
        <v>2.8125</v>
      </c>
      <c r="P52">
        <f t="shared" si="2"/>
        <v>0</v>
      </c>
      <c r="Q52">
        <f t="shared" si="2"/>
        <v>0</v>
      </c>
      <c r="R52">
        <f t="shared" si="2"/>
        <v>0</v>
      </c>
      <c r="S52">
        <f t="shared" si="2"/>
        <v>0</v>
      </c>
      <c r="T52">
        <f t="shared" si="2"/>
        <v>0</v>
      </c>
      <c r="U52">
        <f t="shared" si="2"/>
        <v>0</v>
      </c>
      <c r="V52">
        <f t="shared" si="2"/>
        <v>0</v>
      </c>
      <c r="W52">
        <f t="shared" si="2"/>
        <v>0</v>
      </c>
      <c r="X52">
        <f t="shared" si="2"/>
        <v>0</v>
      </c>
      <c r="Y52">
        <f t="shared" si="2"/>
        <v>0</v>
      </c>
      <c r="Z52">
        <f t="shared" si="2"/>
        <v>0</v>
      </c>
      <c r="AA52">
        <f t="shared" si="2"/>
        <v>1</v>
      </c>
    </row>
    <row r="53" spans="2:27" x14ac:dyDescent="0.25">
      <c r="B53" s="13" t="s">
        <v>164</v>
      </c>
      <c r="C53" s="8">
        <v>9</v>
      </c>
      <c r="D53" s="8">
        <v>8.25</v>
      </c>
      <c r="E53" s="8">
        <v>6.5</v>
      </c>
      <c r="F53" s="8">
        <v>6.5625</v>
      </c>
      <c r="G53" s="8">
        <v>5.4375</v>
      </c>
      <c r="H53" s="8">
        <v>4.125</v>
      </c>
      <c r="I53" s="8">
        <v>5.6875</v>
      </c>
      <c r="J53" s="8">
        <v>9.4375</v>
      </c>
      <c r="K53" s="8">
        <v>5.6875</v>
      </c>
      <c r="L53" s="8">
        <v>5.0625</v>
      </c>
      <c r="M53" s="8">
        <v>8.875</v>
      </c>
      <c r="N53" s="9">
        <v>3.375</v>
      </c>
      <c r="P53">
        <f t="shared" si="2"/>
        <v>0</v>
      </c>
      <c r="Q53">
        <f t="shared" si="2"/>
        <v>0</v>
      </c>
      <c r="R53">
        <f t="shared" si="2"/>
        <v>0</v>
      </c>
      <c r="S53">
        <f t="shared" si="2"/>
        <v>0</v>
      </c>
      <c r="T53">
        <f t="shared" si="2"/>
        <v>0</v>
      </c>
      <c r="U53">
        <f t="shared" si="2"/>
        <v>0</v>
      </c>
      <c r="V53">
        <f t="shared" si="2"/>
        <v>0</v>
      </c>
      <c r="W53">
        <f t="shared" si="2"/>
        <v>0</v>
      </c>
      <c r="X53">
        <f t="shared" si="2"/>
        <v>0</v>
      </c>
      <c r="Y53">
        <f t="shared" si="2"/>
        <v>0</v>
      </c>
      <c r="Z53">
        <f t="shared" si="2"/>
        <v>0</v>
      </c>
      <c r="AA53">
        <f t="shared" si="2"/>
        <v>1</v>
      </c>
    </row>
    <row r="54" spans="2:27" x14ac:dyDescent="0.25">
      <c r="B54" s="13" t="s">
        <v>166</v>
      </c>
      <c r="C54" s="8">
        <v>11.75</v>
      </c>
      <c r="D54" s="8">
        <v>9.5</v>
      </c>
      <c r="E54" s="8">
        <v>5.25</v>
      </c>
      <c r="F54" s="8">
        <v>6.5</v>
      </c>
      <c r="G54" s="8">
        <v>4.625</v>
      </c>
      <c r="H54" s="8">
        <v>6.875</v>
      </c>
      <c r="I54" s="8">
        <v>5.625</v>
      </c>
      <c r="J54" s="8">
        <v>8.875</v>
      </c>
      <c r="K54" s="8">
        <v>5.75</v>
      </c>
      <c r="L54" s="8">
        <v>2.125</v>
      </c>
      <c r="M54" s="8">
        <v>9.75</v>
      </c>
      <c r="N54" s="9">
        <v>1.375</v>
      </c>
      <c r="P54">
        <f t="shared" si="2"/>
        <v>0</v>
      </c>
      <c r="Q54">
        <f t="shared" si="2"/>
        <v>0</v>
      </c>
      <c r="R54">
        <f t="shared" si="2"/>
        <v>0</v>
      </c>
      <c r="S54">
        <f t="shared" si="2"/>
        <v>0</v>
      </c>
      <c r="T54">
        <f t="shared" si="2"/>
        <v>0</v>
      </c>
      <c r="U54">
        <f t="shared" si="2"/>
        <v>0</v>
      </c>
      <c r="V54">
        <f t="shared" si="2"/>
        <v>0</v>
      </c>
      <c r="W54">
        <f t="shared" si="2"/>
        <v>0</v>
      </c>
      <c r="X54">
        <f t="shared" si="2"/>
        <v>0</v>
      </c>
      <c r="Y54">
        <f t="shared" si="2"/>
        <v>0</v>
      </c>
      <c r="Z54">
        <f t="shared" si="2"/>
        <v>0</v>
      </c>
      <c r="AA54">
        <f t="shared" si="2"/>
        <v>1</v>
      </c>
    </row>
    <row r="55" spans="2:27" x14ac:dyDescent="0.25">
      <c r="B55" s="12" t="s">
        <v>170</v>
      </c>
      <c r="C55" s="10">
        <v>9.009615384615385</v>
      </c>
      <c r="D55" s="10">
        <v>6.5612980769230766</v>
      </c>
      <c r="E55" s="10">
        <v>5.947115384615385</v>
      </c>
      <c r="F55" s="10">
        <v>5.9855769230769234</v>
      </c>
      <c r="G55" s="10">
        <v>6.1213942307692308</v>
      </c>
      <c r="H55" s="10">
        <v>5.3942307692307692</v>
      </c>
      <c r="I55" s="10">
        <v>6.1682692307692308</v>
      </c>
      <c r="J55" s="10">
        <v>8.0456730769230766</v>
      </c>
      <c r="K55" s="10">
        <v>6.453125</v>
      </c>
      <c r="L55" s="10">
        <v>6.2884615384615383</v>
      </c>
      <c r="M55" s="10">
        <v>7.849759615384615</v>
      </c>
      <c r="N55" s="11">
        <v>4.1754807692307692</v>
      </c>
      <c r="P55">
        <f t="shared" ref="P55:AA55" si="3">SUM(P3:P54)</f>
        <v>0</v>
      </c>
      <c r="Q55">
        <f t="shared" si="3"/>
        <v>3</v>
      </c>
      <c r="R55">
        <f t="shared" si="3"/>
        <v>4</v>
      </c>
      <c r="S55">
        <f t="shared" si="3"/>
        <v>4</v>
      </c>
      <c r="T55">
        <f t="shared" si="3"/>
        <v>11</v>
      </c>
      <c r="U55">
        <f t="shared" si="3"/>
        <v>6</v>
      </c>
      <c r="V55">
        <f t="shared" si="3"/>
        <v>2</v>
      </c>
      <c r="W55">
        <f t="shared" si="3"/>
        <v>0</v>
      </c>
      <c r="X55">
        <f t="shared" si="3"/>
        <v>2</v>
      </c>
      <c r="Y55">
        <f t="shared" si="3"/>
        <v>3</v>
      </c>
      <c r="Z55">
        <f t="shared" si="3"/>
        <v>0</v>
      </c>
      <c r="AA55">
        <f t="shared" si="3"/>
        <v>19</v>
      </c>
    </row>
    <row r="56" spans="2:27" x14ac:dyDescent="0.25">
      <c r="B56" s="12" t="s">
        <v>171</v>
      </c>
      <c r="C56" s="6">
        <f>P55</f>
        <v>0</v>
      </c>
      <c r="D56" s="6">
        <f t="shared" ref="D56:N56" si="4">Q55</f>
        <v>3</v>
      </c>
      <c r="E56" s="6">
        <f t="shared" si="4"/>
        <v>4</v>
      </c>
      <c r="F56" s="6">
        <f t="shared" si="4"/>
        <v>4</v>
      </c>
      <c r="G56" s="6">
        <f t="shared" si="4"/>
        <v>11</v>
      </c>
      <c r="H56" s="6">
        <f t="shared" si="4"/>
        <v>6</v>
      </c>
      <c r="I56" s="6">
        <f t="shared" si="4"/>
        <v>2</v>
      </c>
      <c r="J56" s="6">
        <f t="shared" si="4"/>
        <v>0</v>
      </c>
      <c r="K56" s="6">
        <f t="shared" si="4"/>
        <v>2</v>
      </c>
      <c r="L56" s="6">
        <f t="shared" si="4"/>
        <v>3</v>
      </c>
      <c r="M56" s="6">
        <f t="shared" si="4"/>
        <v>0</v>
      </c>
      <c r="N56" s="45">
        <f t="shared" si="4"/>
        <v>19</v>
      </c>
    </row>
    <row r="59" spans="2:27" x14ac:dyDescent="0.25">
      <c r="B59" s="2" t="s">
        <v>169</v>
      </c>
      <c r="C59" s="2" t="s">
        <v>0</v>
      </c>
      <c r="D59" s="2" t="s">
        <v>1</v>
      </c>
      <c r="E59" s="2" t="s">
        <v>2</v>
      </c>
      <c r="F59" s="2" t="s">
        <v>3</v>
      </c>
      <c r="G59" s="2" t="s">
        <v>4</v>
      </c>
      <c r="H59" s="2" t="s">
        <v>5</v>
      </c>
      <c r="I59" s="2" t="s">
        <v>6</v>
      </c>
      <c r="J59" s="2" t="s">
        <v>7</v>
      </c>
      <c r="K59" s="2" t="s">
        <v>8</v>
      </c>
      <c r="L59" s="2" t="s">
        <v>9</v>
      </c>
      <c r="M59" s="2" t="s">
        <v>10</v>
      </c>
      <c r="N59" s="2" t="s">
        <v>11</v>
      </c>
      <c r="P59" s="1" t="s">
        <v>0</v>
      </c>
      <c r="Q59" s="1" t="s">
        <v>1</v>
      </c>
      <c r="R59" s="1" t="s">
        <v>2</v>
      </c>
      <c r="S59" s="1" t="s">
        <v>3</v>
      </c>
      <c r="T59" s="1" t="s">
        <v>4</v>
      </c>
      <c r="U59" s="1" t="s">
        <v>5</v>
      </c>
      <c r="V59" s="1" t="s">
        <v>6</v>
      </c>
      <c r="W59" s="1" t="s">
        <v>7</v>
      </c>
      <c r="X59" s="1" t="s">
        <v>8</v>
      </c>
      <c r="Y59" s="1" t="s">
        <v>9</v>
      </c>
      <c r="Z59" s="1" t="s">
        <v>10</v>
      </c>
      <c r="AA59" s="1" t="s">
        <v>11</v>
      </c>
    </row>
    <row r="60" spans="2:27" x14ac:dyDescent="0.25">
      <c r="B60" s="19" t="s">
        <v>65</v>
      </c>
      <c r="C60" s="14">
        <v>0.84831730769230762</v>
      </c>
      <c r="D60" s="14">
        <v>0.8485576923076924</v>
      </c>
      <c r="E60" s="14">
        <v>0.88052884615384597</v>
      </c>
      <c r="F60" s="14">
        <v>0.87331730769230764</v>
      </c>
      <c r="G60" s="14">
        <v>0.88509615384615392</v>
      </c>
      <c r="H60" s="14">
        <v>0.88413461538461546</v>
      </c>
      <c r="I60" s="14">
        <v>0.8891826923076922</v>
      </c>
      <c r="J60" s="14">
        <v>0.86153846153846136</v>
      </c>
      <c r="K60" s="14">
        <v>0.88028846153846163</v>
      </c>
      <c r="L60" s="14">
        <v>0.87524038461538478</v>
      </c>
      <c r="M60" s="14">
        <v>0.86586538461538465</v>
      </c>
      <c r="N60" s="15">
        <v>0.9</v>
      </c>
      <c r="P60">
        <f>IF(C60=MAX($C60:$N60),1,0)</f>
        <v>0</v>
      </c>
      <c r="Q60">
        <f t="shared" ref="Q60:AA75" si="5">IF(D60=MAX($C60:$N60),1,0)</f>
        <v>0</v>
      </c>
      <c r="R60">
        <f t="shared" si="5"/>
        <v>0</v>
      </c>
      <c r="S60">
        <f t="shared" si="5"/>
        <v>0</v>
      </c>
      <c r="T60">
        <f t="shared" si="5"/>
        <v>0</v>
      </c>
      <c r="U60">
        <f t="shared" si="5"/>
        <v>0</v>
      </c>
      <c r="V60">
        <f t="shared" si="5"/>
        <v>0</v>
      </c>
      <c r="W60">
        <f t="shared" si="5"/>
        <v>0</v>
      </c>
      <c r="X60">
        <f t="shared" si="5"/>
        <v>0</v>
      </c>
      <c r="Y60">
        <f t="shared" si="5"/>
        <v>0</v>
      </c>
      <c r="Z60">
        <f t="shared" si="5"/>
        <v>0</v>
      </c>
      <c r="AA60">
        <f t="shared" si="5"/>
        <v>1</v>
      </c>
    </row>
    <row r="61" spans="2:27" x14ac:dyDescent="0.25">
      <c r="B61" s="19" t="s">
        <v>67</v>
      </c>
      <c r="C61" s="14">
        <v>0.84232526881720426</v>
      </c>
      <c r="D61" s="14">
        <v>0.84543682795698938</v>
      </c>
      <c r="E61" s="14">
        <v>0.86770161290322589</v>
      </c>
      <c r="F61" s="14">
        <v>0.85057795698924721</v>
      </c>
      <c r="G61" s="14">
        <v>0.86891129032258074</v>
      </c>
      <c r="H61" s="14">
        <v>0.86516129032258071</v>
      </c>
      <c r="I61" s="14">
        <v>0.87194892473118291</v>
      </c>
      <c r="J61" s="14">
        <v>0.84725134408602165</v>
      </c>
      <c r="K61" s="14">
        <v>0.86292338709677407</v>
      </c>
      <c r="L61" s="14">
        <v>0.85751344086021508</v>
      </c>
      <c r="M61" s="14">
        <v>0.86000672043010751</v>
      </c>
      <c r="N61" s="15">
        <v>0.88260080645161276</v>
      </c>
      <c r="P61">
        <f t="shared" ref="P61:AA95" si="6">IF(C61=MAX($C61:$N61),1,0)</f>
        <v>0</v>
      </c>
      <c r="Q61">
        <f t="shared" si="5"/>
        <v>0</v>
      </c>
      <c r="R61">
        <f t="shared" si="5"/>
        <v>0</v>
      </c>
      <c r="S61">
        <f t="shared" si="5"/>
        <v>0</v>
      </c>
      <c r="T61">
        <f t="shared" si="5"/>
        <v>0</v>
      </c>
      <c r="U61">
        <f t="shared" si="5"/>
        <v>0</v>
      </c>
      <c r="V61">
        <f t="shared" si="5"/>
        <v>0</v>
      </c>
      <c r="W61">
        <f t="shared" si="5"/>
        <v>0</v>
      </c>
      <c r="X61">
        <f t="shared" si="5"/>
        <v>0</v>
      </c>
      <c r="Y61">
        <f t="shared" si="5"/>
        <v>0</v>
      </c>
      <c r="Z61">
        <f t="shared" si="5"/>
        <v>0</v>
      </c>
      <c r="AA61">
        <f t="shared" si="5"/>
        <v>1</v>
      </c>
    </row>
    <row r="62" spans="2:27" x14ac:dyDescent="0.25">
      <c r="B62" s="19" t="s">
        <v>69</v>
      </c>
      <c r="C62" s="14">
        <v>0.86494623655913971</v>
      </c>
      <c r="D62" s="14">
        <v>0.86627016129032264</v>
      </c>
      <c r="E62" s="14">
        <v>0.89768817204301088</v>
      </c>
      <c r="F62" s="14">
        <v>0.89588709677419365</v>
      </c>
      <c r="G62" s="14">
        <v>0.90061155913978497</v>
      </c>
      <c r="H62" s="14">
        <v>0.88906586021505374</v>
      </c>
      <c r="I62" s="14">
        <v>0.9001881720430106</v>
      </c>
      <c r="J62" s="14">
        <v>0.86987231182795677</v>
      </c>
      <c r="K62" s="14">
        <v>0.87956989247311823</v>
      </c>
      <c r="L62" s="14">
        <v>0.87348790322580649</v>
      </c>
      <c r="M62" s="14">
        <v>0.87668010752688164</v>
      </c>
      <c r="N62" s="15">
        <v>0.90160618279569904</v>
      </c>
      <c r="P62">
        <f t="shared" si="6"/>
        <v>0</v>
      </c>
      <c r="Q62">
        <f t="shared" si="5"/>
        <v>0</v>
      </c>
      <c r="R62">
        <f t="shared" si="5"/>
        <v>0</v>
      </c>
      <c r="S62">
        <f t="shared" si="5"/>
        <v>0</v>
      </c>
      <c r="T62">
        <f t="shared" si="5"/>
        <v>0</v>
      </c>
      <c r="U62">
        <f t="shared" si="5"/>
        <v>0</v>
      </c>
      <c r="V62">
        <f t="shared" si="5"/>
        <v>0</v>
      </c>
      <c r="W62">
        <f t="shared" si="5"/>
        <v>0</v>
      </c>
      <c r="X62">
        <f t="shared" si="5"/>
        <v>0</v>
      </c>
      <c r="Y62">
        <f t="shared" si="5"/>
        <v>0</v>
      </c>
      <c r="Z62">
        <f t="shared" si="5"/>
        <v>0</v>
      </c>
      <c r="AA62">
        <f t="shared" si="5"/>
        <v>1</v>
      </c>
    </row>
    <row r="63" spans="2:27" x14ac:dyDescent="0.25">
      <c r="B63" s="19" t="s">
        <v>71</v>
      </c>
      <c r="C63" s="14">
        <v>0.86401515151515162</v>
      </c>
      <c r="D63" s="14">
        <v>0.85558712121212099</v>
      </c>
      <c r="E63" s="14">
        <v>0.87812500000000004</v>
      </c>
      <c r="F63" s="14">
        <v>0.86571969696969697</v>
      </c>
      <c r="G63" s="14">
        <v>0.87793560606060617</v>
      </c>
      <c r="H63" s="14">
        <v>0.88418560606060603</v>
      </c>
      <c r="I63" s="14">
        <v>0.88030303030303025</v>
      </c>
      <c r="J63" s="14">
        <v>0.84706439393939392</v>
      </c>
      <c r="K63" s="14">
        <v>0.86922348484848488</v>
      </c>
      <c r="L63" s="14">
        <v>0.87443181818181814</v>
      </c>
      <c r="M63" s="14">
        <v>0.87916666666666676</v>
      </c>
      <c r="N63" s="15">
        <v>0.8944128787878789</v>
      </c>
      <c r="P63">
        <f t="shared" si="6"/>
        <v>0</v>
      </c>
      <c r="Q63">
        <f t="shared" si="5"/>
        <v>0</v>
      </c>
      <c r="R63">
        <f t="shared" si="5"/>
        <v>0</v>
      </c>
      <c r="S63">
        <f t="shared" si="5"/>
        <v>0</v>
      </c>
      <c r="T63">
        <f t="shared" si="5"/>
        <v>0</v>
      </c>
      <c r="U63">
        <f t="shared" si="5"/>
        <v>0</v>
      </c>
      <c r="V63">
        <f t="shared" si="5"/>
        <v>0</v>
      </c>
      <c r="W63">
        <f t="shared" si="5"/>
        <v>0</v>
      </c>
      <c r="X63">
        <f t="shared" si="5"/>
        <v>0</v>
      </c>
      <c r="Y63">
        <f t="shared" si="5"/>
        <v>0</v>
      </c>
      <c r="Z63">
        <f t="shared" si="5"/>
        <v>0</v>
      </c>
      <c r="AA63">
        <f t="shared" si="5"/>
        <v>1</v>
      </c>
    </row>
    <row r="64" spans="2:27" x14ac:dyDescent="0.25">
      <c r="B64" s="19" t="s">
        <v>73</v>
      </c>
      <c r="C64" s="14">
        <v>0.85482954545454548</v>
      </c>
      <c r="D64" s="14">
        <v>0.85284090909090915</v>
      </c>
      <c r="E64" s="14">
        <v>0.87954545454545463</v>
      </c>
      <c r="F64" s="14">
        <v>0.89573863636363649</v>
      </c>
      <c r="G64" s="15">
        <v>0.90454545454545465</v>
      </c>
      <c r="H64" s="14">
        <v>0.87727272727272743</v>
      </c>
      <c r="I64" s="14">
        <v>0.8857954545454545</v>
      </c>
      <c r="J64" s="14">
        <v>0.87244318181818192</v>
      </c>
      <c r="K64" s="14">
        <v>0.88409090909090926</v>
      </c>
      <c r="L64" s="14">
        <v>0.8619318181818183</v>
      </c>
      <c r="M64" s="14">
        <v>0.87357954545454564</v>
      </c>
      <c r="N64" s="14">
        <v>0.88920454545454541</v>
      </c>
      <c r="P64">
        <f t="shared" si="6"/>
        <v>0</v>
      </c>
      <c r="Q64">
        <f t="shared" si="5"/>
        <v>0</v>
      </c>
      <c r="R64">
        <f t="shared" si="5"/>
        <v>0</v>
      </c>
      <c r="S64">
        <f t="shared" si="5"/>
        <v>0</v>
      </c>
      <c r="T64">
        <f t="shared" si="5"/>
        <v>1</v>
      </c>
      <c r="U64">
        <f t="shared" si="5"/>
        <v>0</v>
      </c>
      <c r="V64">
        <f t="shared" si="5"/>
        <v>0</v>
      </c>
      <c r="W64">
        <f t="shared" si="5"/>
        <v>0</v>
      </c>
      <c r="X64">
        <f t="shared" si="5"/>
        <v>0</v>
      </c>
      <c r="Y64">
        <f t="shared" si="5"/>
        <v>0</v>
      </c>
      <c r="Z64">
        <f t="shared" si="5"/>
        <v>0</v>
      </c>
      <c r="AA64">
        <f t="shared" si="5"/>
        <v>0</v>
      </c>
    </row>
    <row r="65" spans="2:27" x14ac:dyDescent="0.25">
      <c r="B65" s="19" t="s">
        <v>75</v>
      </c>
      <c r="C65" s="14">
        <v>0.86599049707602338</v>
      </c>
      <c r="D65" s="14">
        <v>0.85244883040935659</v>
      </c>
      <c r="E65" s="14">
        <v>0.88508771929824548</v>
      </c>
      <c r="F65" s="15">
        <v>0.89480994152046778</v>
      </c>
      <c r="G65" s="14">
        <v>0.89279970760233929</v>
      </c>
      <c r="H65" s="14">
        <v>0.87849049707602334</v>
      </c>
      <c r="I65" s="14">
        <v>0.85869883040935679</v>
      </c>
      <c r="J65" s="14">
        <v>0.89131944444444455</v>
      </c>
      <c r="K65" s="14">
        <v>0.86814692982456143</v>
      </c>
      <c r="L65" s="14">
        <v>0.87615131578947347</v>
      </c>
      <c r="M65" s="14">
        <v>0.87849049707602334</v>
      </c>
      <c r="N65" s="14">
        <v>0.89168494152046784</v>
      </c>
      <c r="P65">
        <f t="shared" si="6"/>
        <v>0</v>
      </c>
      <c r="Q65">
        <f t="shared" si="5"/>
        <v>0</v>
      </c>
      <c r="R65">
        <f t="shared" si="5"/>
        <v>0</v>
      </c>
      <c r="S65">
        <f t="shared" si="5"/>
        <v>1</v>
      </c>
      <c r="T65">
        <f t="shared" si="5"/>
        <v>0</v>
      </c>
      <c r="U65">
        <f t="shared" si="5"/>
        <v>0</v>
      </c>
      <c r="V65">
        <f t="shared" si="5"/>
        <v>0</v>
      </c>
      <c r="W65">
        <f t="shared" si="5"/>
        <v>0</v>
      </c>
      <c r="X65">
        <f t="shared" si="5"/>
        <v>0</v>
      </c>
      <c r="Y65">
        <f t="shared" si="5"/>
        <v>0</v>
      </c>
      <c r="Z65">
        <f t="shared" si="5"/>
        <v>0</v>
      </c>
      <c r="AA65">
        <f t="shared" si="5"/>
        <v>0</v>
      </c>
    </row>
    <row r="66" spans="2:27" x14ac:dyDescent="0.25">
      <c r="B66" s="19" t="s">
        <v>77</v>
      </c>
      <c r="C66" s="14">
        <v>0.86941802536231905</v>
      </c>
      <c r="D66" s="14">
        <v>0.86919157608695652</v>
      </c>
      <c r="E66" s="14">
        <v>0.88597146739130428</v>
      </c>
      <c r="F66" s="15">
        <v>0.90485733695652182</v>
      </c>
      <c r="G66" s="14">
        <v>0.88845108695652175</v>
      </c>
      <c r="H66" s="14">
        <v>0.89141757246376829</v>
      </c>
      <c r="I66" s="14">
        <v>0.87841938405797104</v>
      </c>
      <c r="J66" s="14">
        <v>0.86497961956521741</v>
      </c>
      <c r="K66" s="14">
        <v>0.87207880434782592</v>
      </c>
      <c r="L66" s="14">
        <v>0.88225769927536224</v>
      </c>
      <c r="M66" s="14">
        <v>0.89611639492753625</v>
      </c>
      <c r="N66" s="14">
        <v>0.903238224637681</v>
      </c>
      <c r="P66">
        <f t="shared" si="6"/>
        <v>0</v>
      </c>
      <c r="Q66">
        <f t="shared" si="5"/>
        <v>0</v>
      </c>
      <c r="R66">
        <f t="shared" si="5"/>
        <v>0</v>
      </c>
      <c r="S66">
        <f t="shared" si="5"/>
        <v>1</v>
      </c>
      <c r="T66">
        <f t="shared" si="5"/>
        <v>0</v>
      </c>
      <c r="U66">
        <f t="shared" si="5"/>
        <v>0</v>
      </c>
      <c r="V66">
        <f t="shared" si="5"/>
        <v>0</v>
      </c>
      <c r="W66">
        <f t="shared" si="5"/>
        <v>0</v>
      </c>
      <c r="X66">
        <f t="shared" si="5"/>
        <v>0</v>
      </c>
      <c r="Y66">
        <f t="shared" si="5"/>
        <v>0</v>
      </c>
      <c r="Z66">
        <f t="shared" si="5"/>
        <v>0</v>
      </c>
      <c r="AA66">
        <f t="shared" si="5"/>
        <v>0</v>
      </c>
    </row>
    <row r="67" spans="2:27" x14ac:dyDescent="0.25">
      <c r="B67" s="19" t="s">
        <v>79</v>
      </c>
      <c r="C67" s="14">
        <v>0.86284722222222199</v>
      </c>
      <c r="D67" s="14">
        <v>0.85659722222222212</v>
      </c>
      <c r="E67" s="14">
        <v>0.87326388888888873</v>
      </c>
      <c r="F67" s="14">
        <v>0.8944444444444446</v>
      </c>
      <c r="G67" s="14">
        <v>0.89618055555555565</v>
      </c>
      <c r="H67" s="14">
        <v>0.88888888888888895</v>
      </c>
      <c r="I67" s="14">
        <v>0.89687499999999998</v>
      </c>
      <c r="J67" s="14">
        <v>0.84965277777777792</v>
      </c>
      <c r="K67" s="14">
        <v>0.88298611111111125</v>
      </c>
      <c r="L67" s="14">
        <v>0.87256944444444451</v>
      </c>
      <c r="M67" s="14">
        <v>0.86840277777777808</v>
      </c>
      <c r="N67" s="15">
        <v>0.89791666666666647</v>
      </c>
      <c r="P67">
        <f t="shared" si="6"/>
        <v>0</v>
      </c>
      <c r="Q67">
        <f t="shared" si="5"/>
        <v>0</v>
      </c>
      <c r="R67">
        <f t="shared" si="5"/>
        <v>0</v>
      </c>
      <c r="S67">
        <f t="shared" si="5"/>
        <v>0</v>
      </c>
      <c r="T67">
        <f t="shared" si="5"/>
        <v>0</v>
      </c>
      <c r="U67">
        <f t="shared" si="5"/>
        <v>0</v>
      </c>
      <c r="V67">
        <f t="shared" si="5"/>
        <v>0</v>
      </c>
      <c r="W67">
        <f t="shared" si="5"/>
        <v>0</v>
      </c>
      <c r="X67">
        <f t="shared" si="5"/>
        <v>0</v>
      </c>
      <c r="Y67">
        <f t="shared" si="5"/>
        <v>0</v>
      </c>
      <c r="Z67">
        <f t="shared" si="5"/>
        <v>0</v>
      </c>
      <c r="AA67">
        <f t="shared" si="5"/>
        <v>1</v>
      </c>
    </row>
    <row r="68" spans="2:27" x14ac:dyDescent="0.25">
      <c r="B68" s="19" t="s">
        <v>81</v>
      </c>
      <c r="C68" s="14">
        <v>0.86228070175438576</v>
      </c>
      <c r="D68" s="14">
        <v>0.85685307017543844</v>
      </c>
      <c r="E68" s="14">
        <v>0.86842105263157898</v>
      </c>
      <c r="F68" s="14">
        <v>0.86913377192982455</v>
      </c>
      <c r="G68" s="14">
        <v>0.89163011695906413</v>
      </c>
      <c r="H68" s="14">
        <v>0.88845029239766071</v>
      </c>
      <c r="I68" s="14">
        <v>0.87680921052631577</v>
      </c>
      <c r="J68" s="14">
        <v>0.86761695906432745</v>
      </c>
      <c r="K68" s="15">
        <v>0.89225146198830407</v>
      </c>
      <c r="L68" s="14">
        <v>0.87187499999999996</v>
      </c>
      <c r="M68" s="14">
        <v>0.87976973684210502</v>
      </c>
      <c r="N68" s="14">
        <v>0.88779239766081874</v>
      </c>
      <c r="P68">
        <f t="shared" si="6"/>
        <v>0</v>
      </c>
      <c r="Q68">
        <f t="shared" si="5"/>
        <v>0</v>
      </c>
      <c r="R68">
        <f t="shared" si="5"/>
        <v>0</v>
      </c>
      <c r="S68">
        <f t="shared" si="5"/>
        <v>0</v>
      </c>
      <c r="T68">
        <f t="shared" si="5"/>
        <v>0</v>
      </c>
      <c r="U68">
        <f t="shared" si="5"/>
        <v>0</v>
      </c>
      <c r="V68">
        <f t="shared" si="5"/>
        <v>0</v>
      </c>
      <c r="W68">
        <f t="shared" si="5"/>
        <v>0</v>
      </c>
      <c r="X68">
        <f t="shared" si="5"/>
        <v>1</v>
      </c>
      <c r="Y68">
        <f t="shared" si="5"/>
        <v>0</v>
      </c>
      <c r="Z68">
        <f t="shared" si="5"/>
        <v>0</v>
      </c>
      <c r="AA68">
        <f t="shared" si="5"/>
        <v>0</v>
      </c>
    </row>
    <row r="69" spans="2:27" x14ac:dyDescent="0.25">
      <c r="B69" s="19" t="s">
        <v>83</v>
      </c>
      <c r="C69" s="14">
        <v>0.97467261904761915</v>
      </c>
      <c r="D69" s="14">
        <v>0.97080357142857154</v>
      </c>
      <c r="E69" s="14">
        <v>0.97729166666666667</v>
      </c>
      <c r="F69" s="14">
        <v>0.97503720238095248</v>
      </c>
      <c r="G69" s="14">
        <v>0.97182291666666665</v>
      </c>
      <c r="H69" s="14">
        <v>0.96767857142857161</v>
      </c>
      <c r="I69" s="14">
        <v>0.97339285714285706</v>
      </c>
      <c r="J69" s="14">
        <v>0.96759672619047632</v>
      </c>
      <c r="K69" s="15">
        <v>0.97765625000000012</v>
      </c>
      <c r="L69" s="14">
        <v>0.97383184523809518</v>
      </c>
      <c r="M69" s="14">
        <v>0.97403273809523816</v>
      </c>
      <c r="N69" s="14">
        <v>0.97637648809523814</v>
      </c>
      <c r="P69">
        <f t="shared" si="6"/>
        <v>0</v>
      </c>
      <c r="Q69">
        <f t="shared" si="5"/>
        <v>0</v>
      </c>
      <c r="R69">
        <f t="shared" si="5"/>
        <v>0</v>
      </c>
      <c r="S69">
        <f t="shared" si="5"/>
        <v>0</v>
      </c>
      <c r="T69">
        <f t="shared" si="5"/>
        <v>0</v>
      </c>
      <c r="U69">
        <f t="shared" si="5"/>
        <v>0</v>
      </c>
      <c r="V69">
        <f t="shared" si="5"/>
        <v>0</v>
      </c>
      <c r="W69">
        <f t="shared" si="5"/>
        <v>0</v>
      </c>
      <c r="X69">
        <f t="shared" si="5"/>
        <v>1</v>
      </c>
      <c r="Y69">
        <f t="shared" si="5"/>
        <v>0</v>
      </c>
      <c r="Z69">
        <f t="shared" si="5"/>
        <v>0</v>
      </c>
      <c r="AA69">
        <f t="shared" si="5"/>
        <v>0</v>
      </c>
    </row>
    <row r="70" spans="2:27" x14ac:dyDescent="0.25">
      <c r="B70" s="19" t="s">
        <v>85</v>
      </c>
      <c r="C70" s="14">
        <v>0.85640556318681316</v>
      </c>
      <c r="D70" s="14">
        <v>0.85986538461538464</v>
      </c>
      <c r="E70" s="14">
        <v>0.86072424450549445</v>
      </c>
      <c r="F70" s="14">
        <v>0.87381662087912104</v>
      </c>
      <c r="G70" s="15">
        <v>0.8795858516483519</v>
      </c>
      <c r="H70" s="14">
        <v>0.87530185439560426</v>
      </c>
      <c r="I70" s="14">
        <v>0.85967342032967031</v>
      </c>
      <c r="J70" s="14">
        <v>0.86307314560439574</v>
      </c>
      <c r="K70" s="14">
        <v>0.87598626373626387</v>
      </c>
      <c r="L70" s="14">
        <v>0.86483516483516487</v>
      </c>
      <c r="M70" s="14">
        <v>0.86114903846153856</v>
      </c>
      <c r="N70" s="14">
        <v>0.86823179945054951</v>
      </c>
      <c r="P70">
        <f t="shared" si="6"/>
        <v>0</v>
      </c>
      <c r="Q70">
        <f t="shared" si="5"/>
        <v>0</v>
      </c>
      <c r="R70">
        <f t="shared" si="5"/>
        <v>0</v>
      </c>
      <c r="S70">
        <f t="shared" si="5"/>
        <v>0</v>
      </c>
      <c r="T70">
        <f t="shared" si="5"/>
        <v>1</v>
      </c>
      <c r="U70">
        <f t="shared" si="5"/>
        <v>0</v>
      </c>
      <c r="V70">
        <f t="shared" si="5"/>
        <v>0</v>
      </c>
      <c r="W70">
        <f t="shared" si="5"/>
        <v>0</v>
      </c>
      <c r="X70">
        <f t="shared" si="5"/>
        <v>0</v>
      </c>
      <c r="Y70">
        <f t="shared" si="5"/>
        <v>0</v>
      </c>
      <c r="Z70">
        <f t="shared" si="5"/>
        <v>0</v>
      </c>
      <c r="AA70">
        <f t="shared" si="5"/>
        <v>0</v>
      </c>
    </row>
    <row r="71" spans="2:27" x14ac:dyDescent="0.25">
      <c r="B71" s="19" t="s">
        <v>87</v>
      </c>
      <c r="C71" s="14">
        <v>0.84439655172413786</v>
      </c>
      <c r="D71" s="14">
        <v>0.8663895730706076</v>
      </c>
      <c r="E71" s="14">
        <v>0.86768780788177335</v>
      </c>
      <c r="F71" s="14">
        <v>0.8942913587848933</v>
      </c>
      <c r="G71" s="15">
        <v>0.89832358374384247</v>
      </c>
      <c r="H71" s="14">
        <v>0.88572249589490948</v>
      </c>
      <c r="I71" s="14">
        <v>0.87698686371100165</v>
      </c>
      <c r="J71" s="14">
        <v>0.84359451970443344</v>
      </c>
      <c r="K71" s="14">
        <v>0.85767395320197048</v>
      </c>
      <c r="L71" s="14">
        <v>0.82152811986863705</v>
      </c>
      <c r="M71" s="14">
        <v>0.86105603448275858</v>
      </c>
      <c r="N71" s="14">
        <v>0.89539306239737271</v>
      </c>
      <c r="P71">
        <f t="shared" si="6"/>
        <v>0</v>
      </c>
      <c r="Q71">
        <f t="shared" si="5"/>
        <v>0</v>
      </c>
      <c r="R71">
        <f t="shared" si="5"/>
        <v>0</v>
      </c>
      <c r="S71">
        <f t="shared" si="5"/>
        <v>0</v>
      </c>
      <c r="T71">
        <f t="shared" si="5"/>
        <v>1</v>
      </c>
      <c r="U71">
        <f t="shared" si="5"/>
        <v>0</v>
      </c>
      <c r="V71">
        <f t="shared" si="5"/>
        <v>0</v>
      </c>
      <c r="W71">
        <f t="shared" si="5"/>
        <v>0</v>
      </c>
      <c r="X71">
        <f t="shared" si="5"/>
        <v>0</v>
      </c>
      <c r="Y71">
        <f t="shared" si="5"/>
        <v>0</v>
      </c>
      <c r="Z71">
        <f t="shared" si="5"/>
        <v>0</v>
      </c>
      <c r="AA71">
        <f t="shared" si="5"/>
        <v>0</v>
      </c>
    </row>
    <row r="72" spans="2:27" x14ac:dyDescent="0.25">
      <c r="B72" s="19" t="s">
        <v>88</v>
      </c>
      <c r="C72" s="14">
        <v>0.75661626344086019</v>
      </c>
      <c r="D72" s="14">
        <v>0.80717741935483878</v>
      </c>
      <c r="E72" s="14">
        <v>0.80015793010752689</v>
      </c>
      <c r="F72" s="14">
        <v>0.79278225806451597</v>
      </c>
      <c r="G72" s="14">
        <v>0.8237668010752689</v>
      </c>
      <c r="H72" s="14">
        <v>0.82248319892473121</v>
      </c>
      <c r="I72" s="14">
        <v>0.79235887096774182</v>
      </c>
      <c r="J72" s="14">
        <v>0.78993615591397859</v>
      </c>
      <c r="K72" s="14">
        <v>0.84412970430107515</v>
      </c>
      <c r="L72" s="14">
        <v>0.84328965053763438</v>
      </c>
      <c r="M72" s="14">
        <v>0.79489919354838723</v>
      </c>
      <c r="N72" s="15">
        <v>0.8709139784946236</v>
      </c>
      <c r="P72">
        <f t="shared" si="6"/>
        <v>0</v>
      </c>
      <c r="Q72">
        <f t="shared" si="5"/>
        <v>0</v>
      </c>
      <c r="R72">
        <f t="shared" si="5"/>
        <v>0</v>
      </c>
      <c r="S72">
        <f t="shared" si="5"/>
        <v>0</v>
      </c>
      <c r="T72">
        <f t="shared" si="5"/>
        <v>0</v>
      </c>
      <c r="U72">
        <f t="shared" si="5"/>
        <v>0</v>
      </c>
      <c r="V72">
        <f t="shared" si="5"/>
        <v>0</v>
      </c>
      <c r="W72">
        <f t="shared" si="5"/>
        <v>0</v>
      </c>
      <c r="X72">
        <f t="shared" si="5"/>
        <v>0</v>
      </c>
      <c r="Y72">
        <f t="shared" si="5"/>
        <v>0</v>
      </c>
      <c r="Z72">
        <f t="shared" si="5"/>
        <v>0</v>
      </c>
      <c r="AA72">
        <f t="shared" si="5"/>
        <v>1</v>
      </c>
    </row>
    <row r="73" spans="2:27" x14ac:dyDescent="0.25">
      <c r="B73" s="19" t="s">
        <v>90</v>
      </c>
      <c r="C73" s="14">
        <v>0.86905241935483879</v>
      </c>
      <c r="D73" s="14">
        <v>0.88516885080645191</v>
      </c>
      <c r="E73" s="14">
        <v>0.90049143145161303</v>
      </c>
      <c r="F73" s="14">
        <v>0.89880292338709689</v>
      </c>
      <c r="G73" s="14">
        <v>0.91290952620967747</v>
      </c>
      <c r="H73" s="14">
        <v>0.90936239919354844</v>
      </c>
      <c r="I73" s="15">
        <v>0.91389238911290338</v>
      </c>
      <c r="J73" s="14">
        <v>0.87995211693548392</v>
      </c>
      <c r="K73" s="14">
        <v>0.88756930443548399</v>
      </c>
      <c r="L73" s="14">
        <v>0.86251890120967767</v>
      </c>
      <c r="M73" s="14">
        <v>0.89712701612903256</v>
      </c>
      <c r="N73" s="14">
        <v>0.90247605846774215</v>
      </c>
      <c r="P73">
        <f t="shared" si="6"/>
        <v>0</v>
      </c>
      <c r="Q73">
        <f t="shared" si="5"/>
        <v>0</v>
      </c>
      <c r="R73">
        <f t="shared" si="5"/>
        <v>0</v>
      </c>
      <c r="S73">
        <f t="shared" si="5"/>
        <v>0</v>
      </c>
      <c r="T73">
        <f t="shared" si="5"/>
        <v>0</v>
      </c>
      <c r="U73">
        <f t="shared" si="5"/>
        <v>0</v>
      </c>
      <c r="V73">
        <f t="shared" si="5"/>
        <v>1</v>
      </c>
      <c r="W73">
        <f t="shared" si="5"/>
        <v>0</v>
      </c>
      <c r="X73">
        <f t="shared" si="5"/>
        <v>0</v>
      </c>
      <c r="Y73">
        <f t="shared" si="5"/>
        <v>0</v>
      </c>
      <c r="Z73">
        <f t="shared" si="5"/>
        <v>0</v>
      </c>
      <c r="AA73">
        <f t="shared" si="5"/>
        <v>0</v>
      </c>
    </row>
    <row r="74" spans="2:27" x14ac:dyDescent="0.25">
      <c r="B74" s="19" t="s">
        <v>92</v>
      </c>
      <c r="C74" s="14">
        <v>0.86913638897334544</v>
      </c>
      <c r="D74" s="15">
        <v>0.89000471901287126</v>
      </c>
      <c r="E74" s="14">
        <v>0.87257430069930075</v>
      </c>
      <c r="F74" s="14">
        <v>0.87051820462146545</v>
      </c>
      <c r="G74" s="14">
        <v>0.87325000633424554</v>
      </c>
      <c r="H74" s="14">
        <v>0.87443736064659972</v>
      </c>
      <c r="I74" s="14">
        <v>0.87338825124151198</v>
      </c>
      <c r="J74" s="14">
        <v>0.87187389150704375</v>
      </c>
      <c r="K74" s="14">
        <v>0.87540285801155371</v>
      </c>
      <c r="L74" s="14">
        <v>0.8733801750785446</v>
      </c>
      <c r="M74" s="14">
        <v>0.87603248201074291</v>
      </c>
      <c r="N74" s="14">
        <v>0.88154929309820629</v>
      </c>
      <c r="P74">
        <f t="shared" si="6"/>
        <v>0</v>
      </c>
      <c r="Q74">
        <f t="shared" si="5"/>
        <v>1</v>
      </c>
      <c r="R74">
        <f t="shared" si="5"/>
        <v>0</v>
      </c>
      <c r="S74">
        <f t="shared" si="5"/>
        <v>0</v>
      </c>
      <c r="T74">
        <f t="shared" si="5"/>
        <v>0</v>
      </c>
      <c r="U74">
        <f t="shared" si="5"/>
        <v>0</v>
      </c>
      <c r="V74">
        <f t="shared" si="5"/>
        <v>0</v>
      </c>
      <c r="W74">
        <f t="shared" si="5"/>
        <v>0</v>
      </c>
      <c r="X74">
        <f t="shared" si="5"/>
        <v>0</v>
      </c>
      <c r="Y74">
        <f t="shared" si="5"/>
        <v>0</v>
      </c>
      <c r="Z74">
        <f t="shared" si="5"/>
        <v>0</v>
      </c>
      <c r="AA74">
        <f t="shared" si="5"/>
        <v>0</v>
      </c>
    </row>
    <row r="75" spans="2:27" x14ac:dyDescent="0.25">
      <c r="B75" s="19" t="s">
        <v>94</v>
      </c>
      <c r="C75" s="15">
        <v>0.81248106060606051</v>
      </c>
      <c r="D75" s="14">
        <v>0.80214330808080825</v>
      </c>
      <c r="E75" s="14">
        <v>0.81059343434343412</v>
      </c>
      <c r="F75" s="14">
        <v>0.80448232323232327</v>
      </c>
      <c r="G75" s="14">
        <v>0.80428661616161601</v>
      </c>
      <c r="H75" s="14">
        <v>0.77646148989898989</v>
      </c>
      <c r="I75" s="14">
        <v>0.80164141414141399</v>
      </c>
      <c r="J75" s="14">
        <v>0.80342171717171706</v>
      </c>
      <c r="K75" s="14">
        <v>0.8062373737373737</v>
      </c>
      <c r="L75" s="14">
        <v>0.79438446969696963</v>
      </c>
      <c r="M75" s="14">
        <v>0.80345328282828277</v>
      </c>
      <c r="N75" s="14">
        <v>0.80637310606060597</v>
      </c>
      <c r="P75">
        <f t="shared" si="6"/>
        <v>1</v>
      </c>
      <c r="Q75">
        <f t="shared" si="5"/>
        <v>0</v>
      </c>
      <c r="R75">
        <f t="shared" si="5"/>
        <v>0</v>
      </c>
      <c r="S75">
        <f t="shared" si="5"/>
        <v>0</v>
      </c>
      <c r="T75">
        <f t="shared" si="5"/>
        <v>0</v>
      </c>
      <c r="U75">
        <f t="shared" si="5"/>
        <v>0</v>
      </c>
      <c r="V75">
        <f t="shared" si="5"/>
        <v>0</v>
      </c>
      <c r="W75">
        <f t="shared" si="5"/>
        <v>0</v>
      </c>
      <c r="X75">
        <f t="shared" si="5"/>
        <v>0</v>
      </c>
      <c r="Y75">
        <f t="shared" si="5"/>
        <v>0</v>
      </c>
      <c r="Z75">
        <f t="shared" si="5"/>
        <v>0</v>
      </c>
      <c r="AA75">
        <f t="shared" si="5"/>
        <v>0</v>
      </c>
    </row>
    <row r="76" spans="2:27" x14ac:dyDescent="0.25">
      <c r="B76" s="19" t="s">
        <v>96</v>
      </c>
      <c r="C76" s="14">
        <v>0.94448862917510124</v>
      </c>
      <c r="D76" s="14">
        <v>0.9498607508856276</v>
      </c>
      <c r="E76" s="14">
        <v>0.95197447494939258</v>
      </c>
      <c r="F76" s="14">
        <v>0.95375933071862351</v>
      </c>
      <c r="G76" s="14">
        <v>0.95361494180161932</v>
      </c>
      <c r="H76" s="14">
        <v>0.95284286437246957</v>
      </c>
      <c r="I76" s="14">
        <v>0.94912022393724671</v>
      </c>
      <c r="J76" s="14">
        <v>0.94547863423583012</v>
      </c>
      <c r="K76" s="14">
        <v>0.94659009678643735</v>
      </c>
      <c r="L76" s="14">
        <v>0.95138727226720665</v>
      </c>
      <c r="M76" s="14">
        <v>0.94600581983805687</v>
      </c>
      <c r="N76" s="15">
        <v>0.95815536437246951</v>
      </c>
      <c r="P76">
        <f t="shared" si="6"/>
        <v>0</v>
      </c>
      <c r="Q76">
        <f t="shared" si="6"/>
        <v>0</v>
      </c>
      <c r="R76">
        <f t="shared" si="6"/>
        <v>0</v>
      </c>
      <c r="S76">
        <f t="shared" si="6"/>
        <v>0</v>
      </c>
      <c r="T76">
        <f t="shared" si="6"/>
        <v>0</v>
      </c>
      <c r="U76">
        <f t="shared" si="6"/>
        <v>0</v>
      </c>
      <c r="V76">
        <f t="shared" si="6"/>
        <v>0</v>
      </c>
      <c r="W76">
        <f t="shared" si="6"/>
        <v>0</v>
      </c>
      <c r="X76">
        <f t="shared" si="6"/>
        <v>0</v>
      </c>
      <c r="Y76">
        <f t="shared" si="6"/>
        <v>0</v>
      </c>
      <c r="Z76">
        <f t="shared" si="6"/>
        <v>0</v>
      </c>
      <c r="AA76">
        <f t="shared" si="6"/>
        <v>1</v>
      </c>
    </row>
    <row r="77" spans="2:27" x14ac:dyDescent="0.25">
      <c r="B77" s="19" t="s">
        <v>98</v>
      </c>
      <c r="C77" s="14">
        <v>0.71070119396732301</v>
      </c>
      <c r="D77" s="14">
        <v>0.73873673369641113</v>
      </c>
      <c r="E77" s="14">
        <v>0.74017042545268352</v>
      </c>
      <c r="F77" s="14">
        <v>0.74632601941069698</v>
      </c>
      <c r="G77" s="14">
        <v>0.74356133337988184</v>
      </c>
      <c r="H77" s="14">
        <v>0.76952023111297296</v>
      </c>
      <c r="I77" s="14">
        <v>0.76754861402038821</v>
      </c>
      <c r="J77" s="14">
        <v>0.73620333519527059</v>
      </c>
      <c r="K77" s="14">
        <v>0.76597934995112416</v>
      </c>
      <c r="L77" s="14">
        <v>0.76087240492482433</v>
      </c>
      <c r="M77" s="14">
        <v>0.74792044872690033</v>
      </c>
      <c r="N77" s="15">
        <v>0.77843891099939477</v>
      </c>
      <c r="P77">
        <f t="shared" si="6"/>
        <v>0</v>
      </c>
      <c r="Q77">
        <f t="shared" si="6"/>
        <v>0</v>
      </c>
      <c r="R77">
        <f t="shared" si="6"/>
        <v>0</v>
      </c>
      <c r="S77">
        <f t="shared" si="6"/>
        <v>0</v>
      </c>
      <c r="T77">
        <f t="shared" si="6"/>
        <v>0</v>
      </c>
      <c r="U77">
        <f t="shared" si="6"/>
        <v>0</v>
      </c>
      <c r="V77">
        <f t="shared" si="6"/>
        <v>0</v>
      </c>
      <c r="W77">
        <f t="shared" si="6"/>
        <v>0</v>
      </c>
      <c r="X77">
        <f t="shared" si="6"/>
        <v>0</v>
      </c>
      <c r="Y77">
        <f t="shared" si="6"/>
        <v>0</v>
      </c>
      <c r="Z77">
        <f t="shared" si="6"/>
        <v>0</v>
      </c>
      <c r="AA77">
        <f t="shared" si="6"/>
        <v>1</v>
      </c>
    </row>
    <row r="78" spans="2:27" x14ac:dyDescent="0.25">
      <c r="B78" s="19" t="s">
        <v>100</v>
      </c>
      <c r="C78" s="14">
        <v>0.78833925830624785</v>
      </c>
      <c r="D78" s="14">
        <v>0.80168604038762492</v>
      </c>
      <c r="E78" s="14">
        <v>0.79093496072589375</v>
      </c>
      <c r="F78" s="14">
        <v>0.79416713690261209</v>
      </c>
      <c r="G78" s="14">
        <v>0.80089752994462504</v>
      </c>
      <c r="H78" s="15">
        <v>0.80659987435295533</v>
      </c>
      <c r="I78" s="14">
        <v>0.79129232123510274</v>
      </c>
      <c r="J78" s="14">
        <v>0.79324022661610694</v>
      </c>
      <c r="K78" s="14">
        <v>0.79123367340796913</v>
      </c>
      <c r="L78" s="14">
        <v>0.79634495004213302</v>
      </c>
      <c r="M78" s="14">
        <v>0.79160626956181523</v>
      </c>
      <c r="N78" s="14">
        <v>0.79709426161670882</v>
      </c>
      <c r="P78">
        <f t="shared" si="6"/>
        <v>0</v>
      </c>
      <c r="Q78">
        <f t="shared" si="6"/>
        <v>0</v>
      </c>
      <c r="R78">
        <f t="shared" si="6"/>
        <v>0</v>
      </c>
      <c r="S78">
        <f t="shared" si="6"/>
        <v>0</v>
      </c>
      <c r="T78">
        <f t="shared" si="6"/>
        <v>0</v>
      </c>
      <c r="U78">
        <f t="shared" si="6"/>
        <v>1</v>
      </c>
      <c r="V78">
        <f t="shared" si="6"/>
        <v>0</v>
      </c>
      <c r="W78">
        <f t="shared" si="6"/>
        <v>0</v>
      </c>
      <c r="X78">
        <f t="shared" si="6"/>
        <v>0</v>
      </c>
      <c r="Y78">
        <f t="shared" si="6"/>
        <v>0</v>
      </c>
      <c r="Z78">
        <f t="shared" si="6"/>
        <v>0</v>
      </c>
      <c r="AA78">
        <f t="shared" si="6"/>
        <v>0</v>
      </c>
    </row>
    <row r="79" spans="2:27" x14ac:dyDescent="0.25">
      <c r="B79" s="19" t="s">
        <v>102</v>
      </c>
      <c r="C79" s="15">
        <v>0.91145833333333337</v>
      </c>
      <c r="D79" s="14">
        <v>0.90208333333333324</v>
      </c>
      <c r="E79" s="14">
        <v>0.90208333333333335</v>
      </c>
      <c r="F79" s="14">
        <v>0.90937500000000016</v>
      </c>
      <c r="G79" s="15">
        <v>0.91145833333333337</v>
      </c>
      <c r="H79" s="14">
        <v>0.91041666666666665</v>
      </c>
      <c r="I79" s="14">
        <v>0.90000000000000013</v>
      </c>
      <c r="J79" s="14">
        <v>0.90833333333333344</v>
      </c>
      <c r="K79" s="14">
        <v>0.89687499999999987</v>
      </c>
      <c r="L79" s="14">
        <v>0.89374999999999993</v>
      </c>
      <c r="M79" s="14">
        <v>0.88645833333333346</v>
      </c>
      <c r="N79" s="14">
        <v>0.90937500000000004</v>
      </c>
      <c r="P79">
        <f t="shared" si="6"/>
        <v>1</v>
      </c>
      <c r="Q79">
        <f t="shared" si="6"/>
        <v>0</v>
      </c>
      <c r="R79">
        <f t="shared" si="6"/>
        <v>0</v>
      </c>
      <c r="S79">
        <f t="shared" si="6"/>
        <v>0</v>
      </c>
      <c r="T79">
        <f t="shared" si="6"/>
        <v>1</v>
      </c>
      <c r="U79">
        <f t="shared" si="6"/>
        <v>0</v>
      </c>
      <c r="V79">
        <f t="shared" si="6"/>
        <v>0</v>
      </c>
      <c r="W79">
        <f t="shared" si="6"/>
        <v>0</v>
      </c>
      <c r="X79">
        <f t="shared" si="6"/>
        <v>0</v>
      </c>
      <c r="Y79">
        <f t="shared" si="6"/>
        <v>0</v>
      </c>
      <c r="Z79">
        <f t="shared" si="6"/>
        <v>0</v>
      </c>
      <c r="AA79">
        <f t="shared" si="6"/>
        <v>0</v>
      </c>
    </row>
    <row r="80" spans="2:27" x14ac:dyDescent="0.25">
      <c r="B80" s="19" t="s">
        <v>104</v>
      </c>
      <c r="C80" s="14">
        <v>0.91414545203982012</v>
      </c>
      <c r="D80" s="14">
        <v>0.9363441556056662</v>
      </c>
      <c r="E80" s="14">
        <v>0.93860370129550763</v>
      </c>
      <c r="F80" s="15">
        <v>0.93997723602401195</v>
      </c>
      <c r="G80" s="14">
        <v>0.9237315305237761</v>
      </c>
      <c r="H80" s="14">
        <v>0.93756003053057901</v>
      </c>
      <c r="I80" s="14">
        <v>0.93530895313224016</v>
      </c>
      <c r="J80" s="14">
        <v>0.92092544994804604</v>
      </c>
      <c r="K80" s="14">
        <v>0.93612105747691499</v>
      </c>
      <c r="L80" s="14">
        <v>0.93457067721957288</v>
      </c>
      <c r="M80" s="14">
        <v>0.92981772282393649</v>
      </c>
      <c r="N80" s="14">
        <v>0.93646294915768891</v>
      </c>
      <c r="P80">
        <f t="shared" si="6"/>
        <v>0</v>
      </c>
      <c r="Q80">
        <f t="shared" si="6"/>
        <v>0</v>
      </c>
      <c r="R80">
        <f t="shared" si="6"/>
        <v>0</v>
      </c>
      <c r="S80">
        <f t="shared" si="6"/>
        <v>1</v>
      </c>
      <c r="T80">
        <f t="shared" si="6"/>
        <v>0</v>
      </c>
      <c r="U80">
        <f t="shared" si="6"/>
        <v>0</v>
      </c>
      <c r="V80">
        <f t="shared" si="6"/>
        <v>0</v>
      </c>
      <c r="W80">
        <f t="shared" si="6"/>
        <v>0</v>
      </c>
      <c r="X80">
        <f t="shared" si="6"/>
        <v>0</v>
      </c>
      <c r="Y80">
        <f t="shared" si="6"/>
        <v>0</v>
      </c>
      <c r="Z80">
        <f t="shared" si="6"/>
        <v>0</v>
      </c>
      <c r="AA80">
        <f t="shared" si="6"/>
        <v>0</v>
      </c>
    </row>
    <row r="81" spans="2:27" x14ac:dyDescent="0.25">
      <c r="B81" s="19" t="s">
        <v>106</v>
      </c>
      <c r="C81" s="14">
        <v>0.92937627759175623</v>
      </c>
      <c r="D81" s="14">
        <v>0.93058811257382035</v>
      </c>
      <c r="E81" s="14">
        <v>0.9293134296335348</v>
      </c>
      <c r="F81" s="14">
        <v>0.93193980251491271</v>
      </c>
      <c r="G81" s="15">
        <v>0.93384791760697217</v>
      </c>
      <c r="H81" s="14">
        <v>0.93310865977185597</v>
      </c>
      <c r="I81" s="14">
        <v>0.93035921178157521</v>
      </c>
      <c r="J81" s="14">
        <v>0.92439978719764682</v>
      </c>
      <c r="K81" s="14">
        <v>0.92558872839214068</v>
      </c>
      <c r="L81" s="14">
        <v>0.92960163797023621</v>
      </c>
      <c r="M81" s="14">
        <v>0.93024372799464516</v>
      </c>
      <c r="N81" s="14">
        <v>0.92869717200166657</v>
      </c>
      <c r="P81">
        <f t="shared" si="6"/>
        <v>0</v>
      </c>
      <c r="Q81">
        <f t="shared" si="6"/>
        <v>0</v>
      </c>
      <c r="R81">
        <f t="shared" si="6"/>
        <v>0</v>
      </c>
      <c r="S81">
        <f t="shared" si="6"/>
        <v>0</v>
      </c>
      <c r="T81">
        <f t="shared" si="6"/>
        <v>1</v>
      </c>
      <c r="U81">
        <f t="shared" si="6"/>
        <v>0</v>
      </c>
      <c r="V81">
        <f t="shared" si="6"/>
        <v>0</v>
      </c>
      <c r="W81">
        <f t="shared" si="6"/>
        <v>0</v>
      </c>
      <c r="X81">
        <f t="shared" si="6"/>
        <v>0</v>
      </c>
      <c r="Y81">
        <f t="shared" si="6"/>
        <v>0</v>
      </c>
      <c r="Z81">
        <f t="shared" si="6"/>
        <v>0</v>
      </c>
      <c r="AA81">
        <f t="shared" si="6"/>
        <v>0</v>
      </c>
    </row>
    <row r="82" spans="2:27" x14ac:dyDescent="0.25">
      <c r="B82" s="19" t="s">
        <v>108</v>
      </c>
      <c r="C82" s="14">
        <v>0.96818898252184782</v>
      </c>
      <c r="D82" s="14">
        <v>0.98040028089887654</v>
      </c>
      <c r="E82" s="14">
        <v>0.97804229088639205</v>
      </c>
      <c r="F82" s="15">
        <v>0.9892837078651685</v>
      </c>
      <c r="G82" s="14">
        <v>0.97418773408239712</v>
      </c>
      <c r="H82" s="14">
        <v>0.98040496254681642</v>
      </c>
      <c r="I82" s="14">
        <v>0.98457162921348296</v>
      </c>
      <c r="J82" s="14">
        <v>0.96554697253433186</v>
      </c>
      <c r="K82" s="14">
        <v>0.97527231585518104</v>
      </c>
      <c r="L82" s="14">
        <v>0.96721676029962556</v>
      </c>
      <c r="M82" s="14">
        <v>0.97381242197253426</v>
      </c>
      <c r="N82" s="14">
        <v>0.97450686641697859</v>
      </c>
      <c r="P82">
        <f t="shared" si="6"/>
        <v>0</v>
      </c>
      <c r="Q82">
        <f t="shared" si="6"/>
        <v>0</v>
      </c>
      <c r="R82">
        <f t="shared" si="6"/>
        <v>0</v>
      </c>
      <c r="S82">
        <f t="shared" si="6"/>
        <v>1</v>
      </c>
      <c r="T82">
        <f t="shared" si="6"/>
        <v>0</v>
      </c>
      <c r="U82">
        <f t="shared" si="6"/>
        <v>0</v>
      </c>
      <c r="V82">
        <f t="shared" si="6"/>
        <v>0</v>
      </c>
      <c r="W82">
        <f t="shared" si="6"/>
        <v>0</v>
      </c>
      <c r="X82">
        <f t="shared" si="6"/>
        <v>0</v>
      </c>
      <c r="Y82">
        <f t="shared" si="6"/>
        <v>0</v>
      </c>
      <c r="Z82">
        <f t="shared" si="6"/>
        <v>0</v>
      </c>
      <c r="AA82">
        <f t="shared" si="6"/>
        <v>0</v>
      </c>
    </row>
    <row r="83" spans="2:27" x14ac:dyDescent="0.25">
      <c r="B83" s="19" t="s">
        <v>110</v>
      </c>
      <c r="C83" s="14">
        <v>0.81965277777777779</v>
      </c>
      <c r="D83" s="14">
        <v>0.90083333333333337</v>
      </c>
      <c r="E83" s="14">
        <v>0.89291666666666691</v>
      </c>
      <c r="F83" s="14">
        <v>0.90347222222222223</v>
      </c>
      <c r="G83" s="14">
        <v>0.92638888888888904</v>
      </c>
      <c r="H83" s="14">
        <v>0.90513888888888883</v>
      </c>
      <c r="I83" s="14">
        <v>0.91291666666666671</v>
      </c>
      <c r="J83" s="14">
        <v>0.87645833333333334</v>
      </c>
      <c r="K83" s="14">
        <v>0.88770833333333332</v>
      </c>
      <c r="L83" s="14">
        <v>0.88479166666666664</v>
      </c>
      <c r="M83" s="14">
        <v>0.85326388888888904</v>
      </c>
      <c r="N83" s="15">
        <v>0.92874999999999996</v>
      </c>
      <c r="P83">
        <f t="shared" si="6"/>
        <v>0</v>
      </c>
      <c r="Q83">
        <f t="shared" si="6"/>
        <v>0</v>
      </c>
      <c r="R83">
        <f t="shared" si="6"/>
        <v>0</v>
      </c>
      <c r="S83">
        <f t="shared" si="6"/>
        <v>0</v>
      </c>
      <c r="T83">
        <f t="shared" si="6"/>
        <v>0</v>
      </c>
      <c r="U83">
        <f t="shared" si="6"/>
        <v>0</v>
      </c>
      <c r="V83">
        <f t="shared" si="6"/>
        <v>0</v>
      </c>
      <c r="W83">
        <f t="shared" si="6"/>
        <v>0</v>
      </c>
      <c r="X83">
        <f t="shared" si="6"/>
        <v>0</v>
      </c>
      <c r="Y83">
        <f t="shared" si="6"/>
        <v>0</v>
      </c>
      <c r="Z83">
        <f t="shared" si="6"/>
        <v>0</v>
      </c>
      <c r="AA83">
        <f t="shared" si="6"/>
        <v>1</v>
      </c>
    </row>
    <row r="84" spans="2:27" x14ac:dyDescent="0.25">
      <c r="B84" s="19" t="s">
        <v>112</v>
      </c>
      <c r="C84" s="14">
        <v>0.5535989010989012</v>
      </c>
      <c r="D84" s="15">
        <v>0.75301053113553129</v>
      </c>
      <c r="E84" s="14">
        <v>0.70112980769230759</v>
      </c>
      <c r="F84" s="14">
        <v>0.58845867673992658</v>
      </c>
      <c r="G84" s="14">
        <v>0.65074519230769234</v>
      </c>
      <c r="H84" s="14">
        <v>0.70947573260073249</v>
      </c>
      <c r="I84" s="14">
        <v>0.67444997710622712</v>
      </c>
      <c r="J84" s="14">
        <v>0.59624484890109908</v>
      </c>
      <c r="K84" s="14">
        <v>0.71941792582417574</v>
      </c>
      <c r="L84" s="14">
        <v>0.73564846611721613</v>
      </c>
      <c r="M84" s="14">
        <v>0.66621050824175809</v>
      </c>
      <c r="N84" s="14">
        <v>0.73109546703296713</v>
      </c>
      <c r="P84">
        <f t="shared" si="6"/>
        <v>0</v>
      </c>
      <c r="Q84">
        <f t="shared" si="6"/>
        <v>1</v>
      </c>
      <c r="R84">
        <f t="shared" si="6"/>
        <v>0</v>
      </c>
      <c r="S84">
        <f t="shared" si="6"/>
        <v>0</v>
      </c>
      <c r="T84">
        <f t="shared" si="6"/>
        <v>0</v>
      </c>
      <c r="U84">
        <f t="shared" si="6"/>
        <v>0</v>
      </c>
      <c r="V84">
        <f t="shared" si="6"/>
        <v>0</v>
      </c>
      <c r="W84">
        <f t="shared" si="6"/>
        <v>0</v>
      </c>
      <c r="X84">
        <f t="shared" si="6"/>
        <v>0</v>
      </c>
      <c r="Y84">
        <f t="shared" si="6"/>
        <v>0</v>
      </c>
      <c r="Z84">
        <f t="shared" si="6"/>
        <v>0</v>
      </c>
      <c r="AA84">
        <f t="shared" si="6"/>
        <v>0</v>
      </c>
    </row>
    <row r="85" spans="2:27" x14ac:dyDescent="0.25">
      <c r="B85" s="19" t="s">
        <v>114</v>
      </c>
      <c r="C85" s="14">
        <v>0.61568231492266878</v>
      </c>
      <c r="D85" s="14">
        <v>0.76594908351129209</v>
      </c>
      <c r="E85" s="14">
        <v>0.75749021225651991</v>
      </c>
      <c r="F85" s="14">
        <v>0.72421476816799313</v>
      </c>
      <c r="G85" s="14">
        <v>0.69739259367113204</v>
      </c>
      <c r="H85" s="14">
        <v>0.76249089173623252</v>
      </c>
      <c r="I85" s="14">
        <v>0.73911208179641474</v>
      </c>
      <c r="J85" s="14">
        <v>0.67211369151621048</v>
      </c>
      <c r="K85" s="14">
        <v>0.73921047288552377</v>
      </c>
      <c r="L85" s="15">
        <v>0.76757623115252704</v>
      </c>
      <c r="M85" s="14">
        <v>0.71022522730214188</v>
      </c>
      <c r="N85" s="14">
        <v>0.75757210169546352</v>
      </c>
      <c r="P85">
        <f t="shared" si="6"/>
        <v>0</v>
      </c>
      <c r="Q85">
        <f t="shared" si="6"/>
        <v>0</v>
      </c>
      <c r="R85">
        <f t="shared" si="6"/>
        <v>0</v>
      </c>
      <c r="S85">
        <f t="shared" si="6"/>
        <v>0</v>
      </c>
      <c r="T85">
        <f t="shared" si="6"/>
        <v>0</v>
      </c>
      <c r="U85">
        <f t="shared" si="6"/>
        <v>0</v>
      </c>
      <c r="V85">
        <f t="shared" si="6"/>
        <v>0</v>
      </c>
      <c r="W85">
        <f t="shared" si="6"/>
        <v>0</v>
      </c>
      <c r="X85">
        <f t="shared" si="6"/>
        <v>0</v>
      </c>
      <c r="Y85">
        <f t="shared" si="6"/>
        <v>1</v>
      </c>
      <c r="Z85">
        <f t="shared" si="6"/>
        <v>0</v>
      </c>
      <c r="AA85">
        <f t="shared" si="6"/>
        <v>0</v>
      </c>
    </row>
    <row r="86" spans="2:27" x14ac:dyDescent="0.25">
      <c r="B86" s="19" t="s">
        <v>116</v>
      </c>
      <c r="C86" s="14">
        <v>0.60581302527959779</v>
      </c>
      <c r="D86" s="14">
        <v>0.63169392330090668</v>
      </c>
      <c r="E86" s="15">
        <v>0.63356420819270731</v>
      </c>
      <c r="F86" s="14">
        <v>0.62197079114552312</v>
      </c>
      <c r="G86" s="14">
        <v>0.61335963867381371</v>
      </c>
      <c r="H86" s="14">
        <v>0.62678073919661159</v>
      </c>
      <c r="I86" s="14">
        <v>0.6260085368274767</v>
      </c>
      <c r="J86" s="14">
        <v>0.61680183310171399</v>
      </c>
      <c r="K86" s="14">
        <v>0.61856681391039636</v>
      </c>
      <c r="L86" s="14">
        <v>0.62934861193832314</v>
      </c>
      <c r="M86" s="14">
        <v>0.61492162166633579</v>
      </c>
      <c r="N86" s="14">
        <v>0.62981462179868963</v>
      </c>
      <c r="P86">
        <f t="shared" si="6"/>
        <v>0</v>
      </c>
      <c r="Q86">
        <f t="shared" si="6"/>
        <v>0</v>
      </c>
      <c r="R86">
        <f t="shared" si="6"/>
        <v>1</v>
      </c>
      <c r="S86">
        <f t="shared" si="6"/>
        <v>0</v>
      </c>
      <c r="T86">
        <f t="shared" si="6"/>
        <v>0</v>
      </c>
      <c r="U86">
        <f t="shared" si="6"/>
        <v>0</v>
      </c>
      <c r="V86">
        <f t="shared" si="6"/>
        <v>0</v>
      </c>
      <c r="W86">
        <f t="shared" si="6"/>
        <v>0</v>
      </c>
      <c r="X86">
        <f t="shared" si="6"/>
        <v>0</v>
      </c>
      <c r="Y86">
        <f t="shared" si="6"/>
        <v>0</v>
      </c>
      <c r="Z86">
        <f t="shared" si="6"/>
        <v>0</v>
      </c>
      <c r="AA86">
        <f t="shared" si="6"/>
        <v>0</v>
      </c>
    </row>
    <row r="87" spans="2:27" x14ac:dyDescent="0.25">
      <c r="B87" s="19" t="s">
        <v>118</v>
      </c>
      <c r="C87" s="14">
        <v>0.50258451257861647</v>
      </c>
      <c r="D87" s="14">
        <v>0.5927771226415095</v>
      </c>
      <c r="E87" s="14">
        <v>0.6068985849056604</v>
      </c>
      <c r="F87" s="14">
        <v>0.5703026729559747</v>
      </c>
      <c r="G87" s="14">
        <v>0.50219143081761008</v>
      </c>
      <c r="H87" s="14">
        <v>0.58770636792452824</v>
      </c>
      <c r="I87" s="14">
        <v>0.57709316037735847</v>
      </c>
      <c r="J87" s="14">
        <v>0.57245479559748436</v>
      </c>
      <c r="K87" s="14">
        <v>0.59281643081761004</v>
      </c>
      <c r="L87" s="15">
        <v>0.65113993710691809</v>
      </c>
      <c r="M87" s="14">
        <v>0.53286163522012586</v>
      </c>
      <c r="N87" s="14">
        <v>0.60022602201257858</v>
      </c>
      <c r="P87">
        <f t="shared" si="6"/>
        <v>0</v>
      </c>
      <c r="Q87">
        <f t="shared" si="6"/>
        <v>0</v>
      </c>
      <c r="R87">
        <f t="shared" si="6"/>
        <v>0</v>
      </c>
      <c r="S87">
        <f t="shared" si="6"/>
        <v>0</v>
      </c>
      <c r="T87">
        <f t="shared" si="6"/>
        <v>0</v>
      </c>
      <c r="U87">
        <f t="shared" si="6"/>
        <v>0</v>
      </c>
      <c r="V87">
        <f t="shared" si="6"/>
        <v>0</v>
      </c>
      <c r="W87">
        <f t="shared" si="6"/>
        <v>0</v>
      </c>
      <c r="X87">
        <f t="shared" si="6"/>
        <v>0</v>
      </c>
      <c r="Y87">
        <f t="shared" si="6"/>
        <v>1</v>
      </c>
      <c r="Z87">
        <f t="shared" si="6"/>
        <v>0</v>
      </c>
      <c r="AA87">
        <f t="shared" si="6"/>
        <v>0</v>
      </c>
    </row>
    <row r="88" spans="2:27" x14ac:dyDescent="0.25">
      <c r="B88" s="19" t="s">
        <v>120</v>
      </c>
      <c r="C88" s="14">
        <v>0.79000234962406013</v>
      </c>
      <c r="D88" s="14">
        <v>0.81936090225563896</v>
      </c>
      <c r="E88" s="14">
        <v>0.81730498120300765</v>
      </c>
      <c r="F88" s="14">
        <v>0.83882166353383458</v>
      </c>
      <c r="G88" s="14">
        <v>0.8353305137844611</v>
      </c>
      <c r="H88" s="14">
        <v>0.83466674498746851</v>
      </c>
      <c r="I88" s="14">
        <v>0.83859257518797004</v>
      </c>
      <c r="J88" s="14">
        <v>0.77985197368421066</v>
      </c>
      <c r="K88" s="14">
        <v>0.80653195488721785</v>
      </c>
      <c r="L88" s="14">
        <v>0.77941925125313272</v>
      </c>
      <c r="M88" s="14">
        <v>0.79704534774436075</v>
      </c>
      <c r="N88" s="15">
        <v>0.86278782894736838</v>
      </c>
      <c r="P88">
        <f t="shared" si="6"/>
        <v>0</v>
      </c>
      <c r="Q88">
        <f t="shared" si="6"/>
        <v>0</v>
      </c>
      <c r="R88">
        <f t="shared" si="6"/>
        <v>0</v>
      </c>
      <c r="S88">
        <f t="shared" si="6"/>
        <v>0</v>
      </c>
      <c r="T88">
        <f t="shared" si="6"/>
        <v>0</v>
      </c>
      <c r="U88">
        <f t="shared" si="6"/>
        <v>0</v>
      </c>
      <c r="V88">
        <f t="shared" si="6"/>
        <v>0</v>
      </c>
      <c r="W88">
        <f t="shared" si="6"/>
        <v>0</v>
      </c>
      <c r="X88">
        <f t="shared" si="6"/>
        <v>0</v>
      </c>
      <c r="Y88">
        <f t="shared" si="6"/>
        <v>0</v>
      </c>
      <c r="Z88">
        <f t="shared" si="6"/>
        <v>0</v>
      </c>
      <c r="AA88">
        <f t="shared" si="6"/>
        <v>1</v>
      </c>
    </row>
    <row r="89" spans="2:27" x14ac:dyDescent="0.25">
      <c r="B89" s="19" t="s">
        <v>122</v>
      </c>
      <c r="C89" s="14">
        <v>0.98737244897959187</v>
      </c>
      <c r="D89" s="14">
        <v>0.9994897959183674</v>
      </c>
      <c r="E89" s="14">
        <v>0.9994897959183674</v>
      </c>
      <c r="F89" s="14">
        <v>0.99987244897959182</v>
      </c>
      <c r="G89" s="15">
        <v>1</v>
      </c>
      <c r="H89" s="14">
        <v>0.99871917517006814</v>
      </c>
      <c r="I89" s="14">
        <v>0.99974489795918375</v>
      </c>
      <c r="J89" s="14">
        <v>0.98737244897959187</v>
      </c>
      <c r="K89" s="14">
        <v>0.99961734693877546</v>
      </c>
      <c r="L89" s="14">
        <v>0.98737244897959187</v>
      </c>
      <c r="M89" s="14">
        <v>0.97773968962585023</v>
      </c>
      <c r="N89" s="14">
        <v>0.99062499999999998</v>
      </c>
      <c r="P89">
        <f t="shared" si="6"/>
        <v>0</v>
      </c>
      <c r="Q89">
        <f t="shared" si="6"/>
        <v>0</v>
      </c>
      <c r="R89">
        <f t="shared" si="6"/>
        <v>0</v>
      </c>
      <c r="S89">
        <f t="shared" si="6"/>
        <v>0</v>
      </c>
      <c r="T89">
        <f t="shared" si="6"/>
        <v>1</v>
      </c>
      <c r="U89">
        <f t="shared" si="6"/>
        <v>0</v>
      </c>
      <c r="V89">
        <f t="shared" si="6"/>
        <v>0</v>
      </c>
      <c r="W89">
        <f t="shared" si="6"/>
        <v>0</v>
      </c>
      <c r="X89">
        <f t="shared" si="6"/>
        <v>0</v>
      </c>
      <c r="Y89">
        <f t="shared" si="6"/>
        <v>0</v>
      </c>
      <c r="Z89">
        <f t="shared" si="6"/>
        <v>0</v>
      </c>
      <c r="AA89">
        <f t="shared" si="6"/>
        <v>0</v>
      </c>
    </row>
    <row r="90" spans="2:27" x14ac:dyDescent="0.25">
      <c r="B90" s="19" t="s">
        <v>124</v>
      </c>
      <c r="C90" s="14">
        <v>0.50389514580059358</v>
      </c>
      <c r="D90" s="14">
        <v>0.5973775536930328</v>
      </c>
      <c r="E90" s="14">
        <v>0.6133925739188637</v>
      </c>
      <c r="F90" s="14">
        <v>0.56477511495256372</v>
      </c>
      <c r="G90" s="14">
        <v>0.54782912446889009</v>
      </c>
      <c r="H90" s="15">
        <v>0.6264496937023456</v>
      </c>
      <c r="I90" s="14">
        <v>0.57862213346138158</v>
      </c>
      <c r="J90" s="14">
        <v>0.54248683138350495</v>
      </c>
      <c r="K90" s="14">
        <v>0.53044542299633302</v>
      </c>
      <c r="L90" s="14">
        <v>0.59749769003550446</v>
      </c>
      <c r="M90" s="14">
        <v>0.51047756242360753</v>
      </c>
      <c r="N90" s="14">
        <v>0.57867428045515401</v>
      </c>
      <c r="P90">
        <f t="shared" si="6"/>
        <v>0</v>
      </c>
      <c r="Q90">
        <f t="shared" si="6"/>
        <v>0</v>
      </c>
      <c r="R90">
        <f t="shared" si="6"/>
        <v>0</v>
      </c>
      <c r="S90">
        <f t="shared" si="6"/>
        <v>0</v>
      </c>
      <c r="T90">
        <f t="shared" si="6"/>
        <v>0</v>
      </c>
      <c r="U90">
        <f t="shared" si="6"/>
        <v>1</v>
      </c>
      <c r="V90">
        <f t="shared" si="6"/>
        <v>0</v>
      </c>
      <c r="W90">
        <f t="shared" si="6"/>
        <v>0</v>
      </c>
      <c r="X90">
        <f t="shared" si="6"/>
        <v>0</v>
      </c>
      <c r="Y90">
        <f t="shared" si="6"/>
        <v>0</v>
      </c>
      <c r="Z90">
        <f t="shared" si="6"/>
        <v>0</v>
      </c>
      <c r="AA90">
        <f t="shared" si="6"/>
        <v>0</v>
      </c>
    </row>
    <row r="91" spans="2:27" x14ac:dyDescent="0.25">
      <c r="B91" s="19" t="s">
        <v>126</v>
      </c>
      <c r="C91" s="14">
        <v>0.64677376385336749</v>
      </c>
      <c r="D91" s="14">
        <v>0.71522378516624052</v>
      </c>
      <c r="E91" s="15">
        <v>0.74649722932651341</v>
      </c>
      <c r="F91" s="14">
        <v>0.68325847186700761</v>
      </c>
      <c r="G91" s="14">
        <v>0.65026667732310317</v>
      </c>
      <c r="H91" s="14">
        <v>0.70168131926683719</v>
      </c>
      <c r="I91" s="14">
        <v>0.70289002557544755</v>
      </c>
      <c r="J91" s="14">
        <v>0.66586876598465472</v>
      </c>
      <c r="K91" s="14">
        <v>0.70011402387041777</v>
      </c>
      <c r="L91" s="14">
        <v>0.74593696717817559</v>
      </c>
      <c r="M91" s="14">
        <v>0.67342044970161985</v>
      </c>
      <c r="N91" s="14">
        <v>0.74096414109121922</v>
      </c>
      <c r="P91">
        <f t="shared" si="6"/>
        <v>0</v>
      </c>
      <c r="Q91">
        <f t="shared" si="6"/>
        <v>0</v>
      </c>
      <c r="R91">
        <f t="shared" si="6"/>
        <v>1</v>
      </c>
      <c r="S91">
        <f t="shared" si="6"/>
        <v>0</v>
      </c>
      <c r="T91">
        <f t="shared" si="6"/>
        <v>0</v>
      </c>
      <c r="U91">
        <f t="shared" si="6"/>
        <v>0</v>
      </c>
      <c r="V91">
        <f t="shared" si="6"/>
        <v>0</v>
      </c>
      <c r="W91">
        <f t="shared" si="6"/>
        <v>0</v>
      </c>
      <c r="X91">
        <f t="shared" si="6"/>
        <v>0</v>
      </c>
      <c r="Y91">
        <f t="shared" si="6"/>
        <v>0</v>
      </c>
      <c r="Z91">
        <f t="shared" si="6"/>
        <v>0</v>
      </c>
      <c r="AA91">
        <f t="shared" si="6"/>
        <v>0</v>
      </c>
    </row>
    <row r="92" spans="2:27" x14ac:dyDescent="0.25">
      <c r="B92" s="19" t="s">
        <v>128</v>
      </c>
      <c r="C92" s="14">
        <v>0.90130055147058807</v>
      </c>
      <c r="D92" s="14">
        <v>0.90452052696078422</v>
      </c>
      <c r="E92" s="14">
        <v>0.90846354166666665</v>
      </c>
      <c r="F92" s="14">
        <v>0.91221200980392148</v>
      </c>
      <c r="G92" s="14">
        <v>0.91321537990196067</v>
      </c>
      <c r="H92" s="14">
        <v>0.92307598039215688</v>
      </c>
      <c r="I92" s="14">
        <v>0.91598498774509785</v>
      </c>
      <c r="J92" s="14">
        <v>0.87281862745098027</v>
      </c>
      <c r="K92" s="14">
        <v>0.91227175245098036</v>
      </c>
      <c r="L92" s="14">
        <v>0.91997242647058841</v>
      </c>
      <c r="M92" s="14">
        <v>0.90525582107843117</v>
      </c>
      <c r="N92" s="15">
        <v>0.92327971813725462</v>
      </c>
      <c r="P92">
        <f t="shared" si="6"/>
        <v>0</v>
      </c>
      <c r="Q92">
        <f t="shared" si="6"/>
        <v>0</v>
      </c>
      <c r="R92">
        <f t="shared" si="6"/>
        <v>0</v>
      </c>
      <c r="S92">
        <f t="shared" si="6"/>
        <v>0</v>
      </c>
      <c r="T92">
        <f t="shared" si="6"/>
        <v>0</v>
      </c>
      <c r="U92">
        <f t="shared" si="6"/>
        <v>0</v>
      </c>
      <c r="V92">
        <f t="shared" si="6"/>
        <v>0</v>
      </c>
      <c r="W92">
        <f t="shared" si="6"/>
        <v>0</v>
      </c>
      <c r="X92">
        <f t="shared" si="6"/>
        <v>0</v>
      </c>
      <c r="Y92">
        <f t="shared" si="6"/>
        <v>0</v>
      </c>
      <c r="Z92">
        <f t="shared" si="6"/>
        <v>0</v>
      </c>
      <c r="AA92">
        <f t="shared" si="6"/>
        <v>1</v>
      </c>
    </row>
    <row r="93" spans="2:27" x14ac:dyDescent="0.25">
      <c r="B93" s="19" t="s">
        <v>130</v>
      </c>
      <c r="C93" s="14">
        <v>0.75833333333333341</v>
      </c>
      <c r="D93" s="14">
        <v>0.75967261904761918</v>
      </c>
      <c r="E93" s="14">
        <v>0.75738095238095249</v>
      </c>
      <c r="F93" s="14">
        <v>0.76202380952380966</v>
      </c>
      <c r="G93" s="14">
        <v>0.77363095238095225</v>
      </c>
      <c r="H93" s="14">
        <v>0.77223214285714292</v>
      </c>
      <c r="I93" s="14">
        <v>0.75532738095238083</v>
      </c>
      <c r="J93" s="14">
        <v>0.75991071428571422</v>
      </c>
      <c r="K93" s="14">
        <v>0.77142857142857135</v>
      </c>
      <c r="L93" s="15">
        <v>0.77782738095238091</v>
      </c>
      <c r="M93" s="14">
        <v>0.76500000000000001</v>
      </c>
      <c r="N93" s="14">
        <v>0.77309523809523817</v>
      </c>
      <c r="P93">
        <f t="shared" si="6"/>
        <v>0</v>
      </c>
      <c r="Q93">
        <f t="shared" si="6"/>
        <v>0</v>
      </c>
      <c r="R93">
        <f t="shared" si="6"/>
        <v>0</v>
      </c>
      <c r="S93">
        <f t="shared" si="6"/>
        <v>0</v>
      </c>
      <c r="T93">
        <f t="shared" si="6"/>
        <v>0</v>
      </c>
      <c r="U93">
        <f t="shared" si="6"/>
        <v>0</v>
      </c>
      <c r="V93">
        <f t="shared" si="6"/>
        <v>0</v>
      </c>
      <c r="W93">
        <f t="shared" si="6"/>
        <v>0</v>
      </c>
      <c r="X93">
        <f t="shared" si="6"/>
        <v>0</v>
      </c>
      <c r="Y93">
        <f t="shared" si="6"/>
        <v>1</v>
      </c>
      <c r="Z93">
        <f t="shared" si="6"/>
        <v>0</v>
      </c>
      <c r="AA93">
        <f t="shared" si="6"/>
        <v>0</v>
      </c>
    </row>
    <row r="94" spans="2:27" x14ac:dyDescent="0.25">
      <c r="B94" s="19" t="s">
        <v>132</v>
      </c>
      <c r="C94" s="14">
        <v>0.71943681318681307</v>
      </c>
      <c r="D94" s="14">
        <v>0.73062328296703272</v>
      </c>
      <c r="E94" s="14">
        <v>0.7232657967032966</v>
      </c>
      <c r="F94" s="14">
        <v>0.72120535714285727</v>
      </c>
      <c r="G94" s="14">
        <v>0.7090315934065935</v>
      </c>
      <c r="H94" s="15">
        <v>0.73185954670329689</v>
      </c>
      <c r="I94" s="14">
        <v>0.72141140109890112</v>
      </c>
      <c r="J94" s="14">
        <v>0.7186212225274724</v>
      </c>
      <c r="K94" s="14">
        <v>0.72450206043956045</v>
      </c>
      <c r="L94" s="14">
        <v>0.71745364010988999</v>
      </c>
      <c r="M94" s="14">
        <v>0.72927541208791202</v>
      </c>
      <c r="N94" s="14">
        <v>0.72441620879120872</v>
      </c>
      <c r="P94">
        <f t="shared" si="6"/>
        <v>0</v>
      </c>
      <c r="Q94">
        <f t="shared" si="6"/>
        <v>0</v>
      </c>
      <c r="R94">
        <f t="shared" si="6"/>
        <v>0</v>
      </c>
      <c r="S94">
        <f t="shared" si="6"/>
        <v>0</v>
      </c>
      <c r="T94">
        <f t="shared" si="6"/>
        <v>0</v>
      </c>
      <c r="U94">
        <f t="shared" si="6"/>
        <v>1</v>
      </c>
      <c r="V94">
        <f t="shared" si="6"/>
        <v>0</v>
      </c>
      <c r="W94">
        <f t="shared" si="6"/>
        <v>0</v>
      </c>
      <c r="X94">
        <f t="shared" si="6"/>
        <v>0</v>
      </c>
      <c r="Y94">
        <f t="shared" si="6"/>
        <v>0</v>
      </c>
      <c r="Z94">
        <f t="shared" si="6"/>
        <v>0</v>
      </c>
      <c r="AA94">
        <f t="shared" si="6"/>
        <v>0</v>
      </c>
    </row>
    <row r="95" spans="2:27" x14ac:dyDescent="0.25">
      <c r="B95" s="19" t="s">
        <v>134</v>
      </c>
      <c r="C95" s="14">
        <v>0.50993421052631605</v>
      </c>
      <c r="D95" s="14">
        <v>0.59078947368421053</v>
      </c>
      <c r="E95" s="14">
        <v>0.62664473684210553</v>
      </c>
      <c r="F95" s="14">
        <v>0.58674342105263144</v>
      </c>
      <c r="G95" s="14">
        <v>0.61924342105263153</v>
      </c>
      <c r="H95" s="14">
        <v>0.59878289473684199</v>
      </c>
      <c r="I95" s="15">
        <v>0.64713815789473672</v>
      </c>
      <c r="J95" s="14">
        <v>0.51054276315789493</v>
      </c>
      <c r="K95" s="14">
        <v>0.6043421052631579</v>
      </c>
      <c r="L95" s="14">
        <v>0.64100328947368423</v>
      </c>
      <c r="M95" s="14">
        <v>0.55625000000000013</v>
      </c>
      <c r="N95" s="14">
        <v>0.64197368421052636</v>
      </c>
      <c r="P95">
        <f t="shared" si="6"/>
        <v>0</v>
      </c>
      <c r="Q95">
        <f t="shared" si="6"/>
        <v>0</v>
      </c>
      <c r="R95">
        <f t="shared" si="6"/>
        <v>0</v>
      </c>
      <c r="S95">
        <f t="shared" si="6"/>
        <v>0</v>
      </c>
      <c r="T95">
        <f t="shared" si="6"/>
        <v>0</v>
      </c>
      <c r="U95">
        <f t="shared" si="6"/>
        <v>0</v>
      </c>
      <c r="V95">
        <f t="shared" si="6"/>
        <v>1</v>
      </c>
      <c r="W95">
        <f t="shared" si="6"/>
        <v>0</v>
      </c>
      <c r="X95">
        <f t="shared" si="6"/>
        <v>0</v>
      </c>
      <c r="Y95">
        <f t="shared" si="6"/>
        <v>0</v>
      </c>
      <c r="Z95">
        <f t="shared" si="6"/>
        <v>0</v>
      </c>
      <c r="AA95">
        <f t="shared" si="6"/>
        <v>0</v>
      </c>
    </row>
    <row r="96" spans="2:27" x14ac:dyDescent="0.25">
      <c r="B96" s="19" t="s">
        <v>136</v>
      </c>
      <c r="C96" s="14">
        <v>0.72099702380952402</v>
      </c>
      <c r="D96" s="14">
        <v>0.83351190476190484</v>
      </c>
      <c r="E96" s="14">
        <v>0.85066964285714297</v>
      </c>
      <c r="F96" s="15">
        <v>0.90227678571428593</v>
      </c>
      <c r="G96" s="14">
        <v>0.85790178571428599</v>
      </c>
      <c r="H96" s="14">
        <v>0.87855654761904789</v>
      </c>
      <c r="I96" s="14">
        <v>0.84318452380952391</v>
      </c>
      <c r="J96" s="14">
        <v>0.805372023809524</v>
      </c>
      <c r="K96" s="14">
        <v>0.841651785714286</v>
      </c>
      <c r="L96" s="14">
        <v>0.80730654761904785</v>
      </c>
      <c r="M96" s="14">
        <v>0.81755952380952401</v>
      </c>
      <c r="N96" s="14">
        <v>0.87444940476190502</v>
      </c>
      <c r="P96">
        <f t="shared" ref="P96:AA111" si="7">IF(C96=MAX($C96:$N96),1,0)</f>
        <v>0</v>
      </c>
      <c r="Q96">
        <f t="shared" si="7"/>
        <v>0</v>
      </c>
      <c r="R96">
        <f t="shared" si="7"/>
        <v>0</v>
      </c>
      <c r="S96">
        <f t="shared" si="7"/>
        <v>1</v>
      </c>
      <c r="T96">
        <f t="shared" si="7"/>
        <v>0</v>
      </c>
      <c r="U96">
        <f t="shared" si="7"/>
        <v>0</v>
      </c>
      <c r="V96">
        <f t="shared" si="7"/>
        <v>0</v>
      </c>
      <c r="W96">
        <f t="shared" si="7"/>
        <v>0</v>
      </c>
      <c r="X96">
        <f t="shared" si="7"/>
        <v>0</v>
      </c>
      <c r="Y96">
        <f t="shared" si="7"/>
        <v>0</v>
      </c>
      <c r="Z96">
        <f t="shared" si="7"/>
        <v>0</v>
      </c>
      <c r="AA96">
        <f t="shared" si="7"/>
        <v>0</v>
      </c>
    </row>
    <row r="97" spans="2:27" x14ac:dyDescent="0.25">
      <c r="B97" s="19" t="s">
        <v>138</v>
      </c>
      <c r="C97" s="14">
        <v>0.54768275203057815</v>
      </c>
      <c r="D97" s="14">
        <v>0.628905130195891</v>
      </c>
      <c r="E97" s="14">
        <v>0.6017919354196527</v>
      </c>
      <c r="F97" s="14">
        <v>0.61274959189361344</v>
      </c>
      <c r="G97" s="15">
        <v>0.65331362478101607</v>
      </c>
      <c r="H97" s="14">
        <v>0.60074404761904765</v>
      </c>
      <c r="I97" s="14">
        <v>0.61443128881987563</v>
      </c>
      <c r="J97" s="14">
        <v>0.57512840420449096</v>
      </c>
      <c r="K97" s="14">
        <v>0.58674102165949982</v>
      </c>
      <c r="L97" s="14">
        <v>0.59196602763178852</v>
      </c>
      <c r="M97" s="14">
        <v>0.59871993948080915</v>
      </c>
      <c r="N97" s="14">
        <v>0.63751269111323439</v>
      </c>
      <c r="P97">
        <f t="shared" si="7"/>
        <v>0</v>
      </c>
      <c r="Q97">
        <f t="shared" si="7"/>
        <v>0</v>
      </c>
      <c r="R97">
        <f t="shared" si="7"/>
        <v>0</v>
      </c>
      <c r="S97">
        <f t="shared" si="7"/>
        <v>0</v>
      </c>
      <c r="T97">
        <f t="shared" si="7"/>
        <v>1</v>
      </c>
      <c r="U97">
        <f t="shared" si="7"/>
        <v>0</v>
      </c>
      <c r="V97">
        <f t="shared" si="7"/>
        <v>0</v>
      </c>
      <c r="W97">
        <f t="shared" si="7"/>
        <v>0</v>
      </c>
      <c r="X97">
        <f t="shared" si="7"/>
        <v>0</v>
      </c>
      <c r="Y97">
        <f t="shared" si="7"/>
        <v>0</v>
      </c>
      <c r="Z97">
        <f t="shared" si="7"/>
        <v>0</v>
      </c>
      <c r="AA97">
        <f t="shared" si="7"/>
        <v>0</v>
      </c>
    </row>
    <row r="98" spans="2:27" x14ac:dyDescent="0.25">
      <c r="B98" s="19" t="s">
        <v>140</v>
      </c>
      <c r="C98" s="14">
        <v>0.50996155585707836</v>
      </c>
      <c r="D98" s="14">
        <v>0.59771172546359108</v>
      </c>
      <c r="E98" s="14">
        <v>0.52705365219357747</v>
      </c>
      <c r="F98" s="14">
        <v>0.52411521935775673</v>
      </c>
      <c r="G98" s="14">
        <v>0.5271285617367707</v>
      </c>
      <c r="H98" s="14">
        <v>0.52751300316598804</v>
      </c>
      <c r="I98" s="14">
        <v>0.56713732473993661</v>
      </c>
      <c r="J98" s="14">
        <v>0.52585085933966536</v>
      </c>
      <c r="K98" s="14">
        <v>0.51805602668475803</v>
      </c>
      <c r="L98" s="14">
        <v>0.50673620533695152</v>
      </c>
      <c r="M98" s="14">
        <v>0.55370590230664851</v>
      </c>
      <c r="N98" s="15">
        <v>0.62781970827679778</v>
      </c>
      <c r="P98">
        <f t="shared" si="7"/>
        <v>0</v>
      </c>
      <c r="Q98">
        <f t="shared" si="7"/>
        <v>0</v>
      </c>
      <c r="R98">
        <f t="shared" si="7"/>
        <v>0</v>
      </c>
      <c r="S98">
        <f t="shared" si="7"/>
        <v>0</v>
      </c>
      <c r="T98">
        <f t="shared" si="7"/>
        <v>0</v>
      </c>
      <c r="U98">
        <f t="shared" si="7"/>
        <v>0</v>
      </c>
      <c r="V98">
        <f t="shared" si="7"/>
        <v>0</v>
      </c>
      <c r="W98">
        <f t="shared" si="7"/>
        <v>0</v>
      </c>
      <c r="X98">
        <f t="shared" si="7"/>
        <v>0</v>
      </c>
      <c r="Y98">
        <f t="shared" si="7"/>
        <v>0</v>
      </c>
      <c r="Z98">
        <f t="shared" si="7"/>
        <v>0</v>
      </c>
      <c r="AA98">
        <f t="shared" si="7"/>
        <v>1</v>
      </c>
    </row>
    <row r="99" spans="2:27" x14ac:dyDescent="0.25">
      <c r="B99" s="19" t="s">
        <v>142</v>
      </c>
      <c r="C99" s="14">
        <v>0.61850845410628019</v>
      </c>
      <c r="D99" s="14">
        <v>0.67934782608695621</v>
      </c>
      <c r="E99" s="14">
        <v>0.6681008454106282</v>
      </c>
      <c r="F99" s="14">
        <v>0.63550422705314014</v>
      </c>
      <c r="G99" s="14">
        <v>0.63203804347826076</v>
      </c>
      <c r="H99" s="15">
        <v>0.68502415458937205</v>
      </c>
      <c r="I99" s="14">
        <v>0.66564311594202907</v>
      </c>
      <c r="J99" s="14">
        <v>0.61942934782608683</v>
      </c>
      <c r="K99" s="14">
        <v>0.64659420289855085</v>
      </c>
      <c r="L99" s="14">
        <v>0.66614130434782615</v>
      </c>
      <c r="M99" s="14">
        <v>0.61860205314009664</v>
      </c>
      <c r="N99" s="14">
        <v>0.67604166666666676</v>
      </c>
      <c r="P99">
        <f t="shared" si="7"/>
        <v>0</v>
      </c>
      <c r="Q99">
        <f t="shared" si="7"/>
        <v>0</v>
      </c>
      <c r="R99">
        <f t="shared" si="7"/>
        <v>0</v>
      </c>
      <c r="S99">
        <f t="shared" si="7"/>
        <v>0</v>
      </c>
      <c r="T99">
        <f t="shared" si="7"/>
        <v>0</v>
      </c>
      <c r="U99">
        <f t="shared" si="7"/>
        <v>1</v>
      </c>
      <c r="V99">
        <f t="shared" si="7"/>
        <v>0</v>
      </c>
      <c r="W99">
        <f t="shared" si="7"/>
        <v>0</v>
      </c>
      <c r="X99">
        <f t="shared" si="7"/>
        <v>0</v>
      </c>
      <c r="Y99">
        <f t="shared" si="7"/>
        <v>0</v>
      </c>
      <c r="Z99">
        <f t="shared" si="7"/>
        <v>0</v>
      </c>
      <c r="AA99">
        <f t="shared" si="7"/>
        <v>0</v>
      </c>
    </row>
    <row r="100" spans="2:27" x14ac:dyDescent="0.25">
      <c r="B100" s="19" t="s">
        <v>144</v>
      </c>
      <c r="C100" s="14">
        <v>0.6094388597513597</v>
      </c>
      <c r="D100" s="14">
        <v>0.68316512480574987</v>
      </c>
      <c r="E100" s="14">
        <v>0.76208272630147622</v>
      </c>
      <c r="F100" s="14">
        <v>0.70138834256021765</v>
      </c>
      <c r="G100" s="14">
        <v>0.68486979166666662</v>
      </c>
      <c r="H100" s="14">
        <v>0.75915974650349638</v>
      </c>
      <c r="I100" s="14">
        <v>0.73121667395104906</v>
      </c>
      <c r="J100" s="14">
        <v>0.69737640831390835</v>
      </c>
      <c r="K100" s="14">
        <v>0.756432230963481</v>
      </c>
      <c r="L100" s="14">
        <v>0.74993966103341103</v>
      </c>
      <c r="M100" s="14">
        <v>0.67358919726107225</v>
      </c>
      <c r="N100" s="15">
        <v>0.76595886752136766</v>
      </c>
      <c r="P100">
        <f t="shared" si="7"/>
        <v>0</v>
      </c>
      <c r="Q100">
        <f t="shared" si="7"/>
        <v>0</v>
      </c>
      <c r="R100">
        <f t="shared" si="7"/>
        <v>0</v>
      </c>
      <c r="S100">
        <f t="shared" si="7"/>
        <v>0</v>
      </c>
      <c r="T100">
        <f t="shared" si="7"/>
        <v>0</v>
      </c>
      <c r="U100">
        <f t="shared" si="7"/>
        <v>0</v>
      </c>
      <c r="V100">
        <f t="shared" si="7"/>
        <v>0</v>
      </c>
      <c r="W100">
        <f t="shared" si="7"/>
        <v>0</v>
      </c>
      <c r="X100">
        <f t="shared" si="7"/>
        <v>0</v>
      </c>
      <c r="Y100">
        <f t="shared" si="7"/>
        <v>0</v>
      </c>
      <c r="Z100">
        <f t="shared" si="7"/>
        <v>0</v>
      </c>
      <c r="AA100">
        <f t="shared" si="7"/>
        <v>1</v>
      </c>
    </row>
    <row r="101" spans="2:27" x14ac:dyDescent="0.25">
      <c r="B101" s="19" t="s">
        <v>146</v>
      </c>
      <c r="C101" s="14">
        <v>0.80058159722222222</v>
      </c>
      <c r="D101" s="14">
        <v>0.91776909722222233</v>
      </c>
      <c r="E101" s="14">
        <v>0.92934027777777795</v>
      </c>
      <c r="F101" s="14">
        <v>0.93439236111111112</v>
      </c>
      <c r="G101" s="14">
        <v>0.92756076388888886</v>
      </c>
      <c r="H101" s="14">
        <v>0.92032986111111126</v>
      </c>
      <c r="I101" s="14">
        <v>0.93167534722222234</v>
      </c>
      <c r="J101" s="14">
        <v>0.79874131944444449</v>
      </c>
      <c r="K101" s="14">
        <v>0.92095486111111124</v>
      </c>
      <c r="L101" s="14">
        <v>0.90332465277777785</v>
      </c>
      <c r="M101" s="14">
        <v>0.89961805555555541</v>
      </c>
      <c r="N101" s="15">
        <v>0.94399305555555557</v>
      </c>
      <c r="P101">
        <f t="shared" si="7"/>
        <v>0</v>
      </c>
      <c r="Q101">
        <f t="shared" si="7"/>
        <v>0</v>
      </c>
      <c r="R101">
        <f t="shared" si="7"/>
        <v>0</v>
      </c>
      <c r="S101">
        <f t="shared" si="7"/>
        <v>0</v>
      </c>
      <c r="T101">
        <f t="shared" si="7"/>
        <v>0</v>
      </c>
      <c r="U101">
        <f t="shared" si="7"/>
        <v>0</v>
      </c>
      <c r="V101">
        <f t="shared" si="7"/>
        <v>0</v>
      </c>
      <c r="W101">
        <f t="shared" si="7"/>
        <v>0</v>
      </c>
      <c r="X101">
        <f t="shared" si="7"/>
        <v>0</v>
      </c>
      <c r="Y101">
        <f t="shared" si="7"/>
        <v>0</v>
      </c>
      <c r="Z101">
        <f t="shared" si="7"/>
        <v>0</v>
      </c>
      <c r="AA101">
        <f t="shared" si="7"/>
        <v>1</v>
      </c>
    </row>
    <row r="102" spans="2:27" x14ac:dyDescent="0.25">
      <c r="B102" s="19" t="s">
        <v>148</v>
      </c>
      <c r="C102" s="14">
        <v>0.70362368295019162</v>
      </c>
      <c r="D102" s="14">
        <v>0.7871135656130267</v>
      </c>
      <c r="E102" s="14">
        <v>0.78342822078544061</v>
      </c>
      <c r="F102" s="14">
        <v>0.81664810823754796</v>
      </c>
      <c r="G102" s="14">
        <v>0.74741229645593854</v>
      </c>
      <c r="H102" s="14">
        <v>0.820923132183908</v>
      </c>
      <c r="I102" s="14">
        <v>0.77450820162835254</v>
      </c>
      <c r="J102" s="14">
        <v>0.74472761015325661</v>
      </c>
      <c r="K102" s="14">
        <v>0.79483267480842901</v>
      </c>
      <c r="L102" s="14">
        <v>0.82937440134099627</v>
      </c>
      <c r="M102" s="14">
        <v>0.7433917025862069</v>
      </c>
      <c r="N102" s="15">
        <v>0.86153017241379304</v>
      </c>
      <c r="P102">
        <f t="shared" si="7"/>
        <v>0</v>
      </c>
      <c r="Q102">
        <f t="shared" si="7"/>
        <v>0</v>
      </c>
      <c r="R102">
        <f t="shared" si="7"/>
        <v>0</v>
      </c>
      <c r="S102">
        <f t="shared" si="7"/>
        <v>0</v>
      </c>
      <c r="T102">
        <f t="shared" si="7"/>
        <v>0</v>
      </c>
      <c r="U102">
        <f t="shared" si="7"/>
        <v>0</v>
      </c>
      <c r="V102">
        <f t="shared" si="7"/>
        <v>0</v>
      </c>
      <c r="W102">
        <f t="shared" si="7"/>
        <v>0</v>
      </c>
      <c r="X102">
        <f t="shared" si="7"/>
        <v>0</v>
      </c>
      <c r="Y102">
        <f t="shared" si="7"/>
        <v>0</v>
      </c>
      <c r="Z102">
        <f t="shared" si="7"/>
        <v>0</v>
      </c>
      <c r="AA102">
        <f t="shared" si="7"/>
        <v>1</v>
      </c>
    </row>
    <row r="103" spans="2:27" x14ac:dyDescent="0.25">
      <c r="B103" s="19" t="s">
        <v>150</v>
      </c>
      <c r="C103" s="14">
        <v>0.88420096544715465</v>
      </c>
      <c r="D103" s="14">
        <v>0.86435721544715449</v>
      </c>
      <c r="E103" s="14">
        <v>0.8866958841463416</v>
      </c>
      <c r="F103" s="14">
        <v>0.88458460365853653</v>
      </c>
      <c r="G103" s="14">
        <v>0.87991615853658534</v>
      </c>
      <c r="H103" s="14">
        <v>0.88916793699187002</v>
      </c>
      <c r="I103" s="15">
        <v>0.90153074186991888</v>
      </c>
      <c r="J103" s="14">
        <v>0.8822294207317074</v>
      </c>
      <c r="K103" s="14">
        <v>0.87925050813008121</v>
      </c>
      <c r="L103" s="14">
        <v>0.878462906504065</v>
      </c>
      <c r="M103" s="14">
        <v>0.8829319105691058</v>
      </c>
      <c r="N103" s="14">
        <v>0.8861686991869917</v>
      </c>
      <c r="P103">
        <f t="shared" si="7"/>
        <v>0</v>
      </c>
      <c r="Q103">
        <f t="shared" si="7"/>
        <v>0</v>
      </c>
      <c r="R103">
        <f t="shared" si="7"/>
        <v>0</v>
      </c>
      <c r="S103">
        <f t="shared" si="7"/>
        <v>0</v>
      </c>
      <c r="T103">
        <f t="shared" si="7"/>
        <v>0</v>
      </c>
      <c r="U103">
        <f t="shared" si="7"/>
        <v>0</v>
      </c>
      <c r="V103">
        <f t="shared" si="7"/>
        <v>1</v>
      </c>
      <c r="W103">
        <f t="shared" si="7"/>
        <v>0</v>
      </c>
      <c r="X103">
        <f t="shared" si="7"/>
        <v>0</v>
      </c>
      <c r="Y103">
        <f t="shared" si="7"/>
        <v>0</v>
      </c>
      <c r="Z103">
        <f t="shared" si="7"/>
        <v>0</v>
      </c>
      <c r="AA103">
        <f t="shared" si="7"/>
        <v>0</v>
      </c>
    </row>
    <row r="104" spans="2:27" x14ac:dyDescent="0.25">
      <c r="B104" s="19" t="s">
        <v>152</v>
      </c>
      <c r="C104" s="14">
        <v>0.4996613700310224</v>
      </c>
      <c r="D104" s="15">
        <v>0.69984708938405449</v>
      </c>
      <c r="E104" s="14">
        <v>0.60609951568463738</v>
      </c>
      <c r="F104" s="14">
        <v>0.63366906462462336</v>
      </c>
      <c r="G104" s="14">
        <v>0.63345592592783462</v>
      </c>
      <c r="H104" s="14">
        <v>0.64496872219416601</v>
      </c>
      <c r="I104" s="14">
        <v>0.51192557870489652</v>
      </c>
      <c r="J104" s="14">
        <v>0.49973689668855059</v>
      </c>
      <c r="K104" s="14">
        <v>0.51849366026982191</v>
      </c>
      <c r="L104" s="14">
        <v>0.68157656288112256</v>
      </c>
      <c r="M104" s="14">
        <v>0.55250687308687274</v>
      </c>
      <c r="N104" s="14">
        <v>0.6153501302043074</v>
      </c>
      <c r="P104">
        <f t="shared" si="7"/>
        <v>0</v>
      </c>
      <c r="Q104">
        <f t="shared" si="7"/>
        <v>1</v>
      </c>
      <c r="R104">
        <f t="shared" si="7"/>
        <v>0</v>
      </c>
      <c r="S104">
        <f t="shared" si="7"/>
        <v>0</v>
      </c>
      <c r="T104">
        <f t="shared" si="7"/>
        <v>0</v>
      </c>
      <c r="U104">
        <f t="shared" si="7"/>
        <v>0</v>
      </c>
      <c r="V104">
        <f t="shared" si="7"/>
        <v>0</v>
      </c>
      <c r="W104">
        <f t="shared" si="7"/>
        <v>0</v>
      </c>
      <c r="X104">
        <f t="shared" si="7"/>
        <v>0</v>
      </c>
      <c r="Y104">
        <f t="shared" si="7"/>
        <v>0</v>
      </c>
      <c r="Z104">
        <f t="shared" si="7"/>
        <v>0</v>
      </c>
      <c r="AA104">
        <f t="shared" si="7"/>
        <v>0</v>
      </c>
    </row>
    <row r="105" spans="2:27" x14ac:dyDescent="0.25">
      <c r="B105" s="19" t="s">
        <v>154</v>
      </c>
      <c r="C105" s="14">
        <v>0.91979166666666667</v>
      </c>
      <c r="D105" s="14">
        <v>0.96562499999999984</v>
      </c>
      <c r="E105" s="14">
        <v>0.96458333333333324</v>
      </c>
      <c r="F105" s="14">
        <v>0.9749715909090908</v>
      </c>
      <c r="G105" s="15">
        <v>0.99158143939393939</v>
      </c>
      <c r="H105" s="14">
        <v>0.98957553475935822</v>
      </c>
      <c r="I105" s="14">
        <v>0.97699836315645128</v>
      </c>
      <c r="J105" s="14">
        <v>0.92592803030303028</v>
      </c>
      <c r="K105" s="14">
        <v>0.97083333333333321</v>
      </c>
      <c r="L105" s="14">
        <v>0.93195101467160302</v>
      </c>
      <c r="M105" s="14">
        <v>0.92482967400246807</v>
      </c>
      <c r="N105" s="14">
        <v>0.96458333333333324</v>
      </c>
      <c r="P105">
        <f t="shared" si="7"/>
        <v>0</v>
      </c>
      <c r="Q105">
        <f t="shared" si="7"/>
        <v>0</v>
      </c>
      <c r="R105">
        <f t="shared" si="7"/>
        <v>0</v>
      </c>
      <c r="S105">
        <f t="shared" si="7"/>
        <v>0</v>
      </c>
      <c r="T105">
        <f t="shared" si="7"/>
        <v>1</v>
      </c>
      <c r="U105">
        <f t="shared" si="7"/>
        <v>0</v>
      </c>
      <c r="V105">
        <f t="shared" si="7"/>
        <v>0</v>
      </c>
      <c r="W105">
        <f t="shared" si="7"/>
        <v>0</v>
      </c>
      <c r="X105">
        <f t="shared" si="7"/>
        <v>0</v>
      </c>
      <c r="Y105">
        <f t="shared" si="7"/>
        <v>0</v>
      </c>
      <c r="Z105">
        <f t="shared" si="7"/>
        <v>0</v>
      </c>
      <c r="AA105">
        <f t="shared" si="7"/>
        <v>0</v>
      </c>
    </row>
    <row r="106" spans="2:27" x14ac:dyDescent="0.25">
      <c r="B106" s="19" t="s">
        <v>156</v>
      </c>
      <c r="C106" s="14">
        <v>0.92260722099537884</v>
      </c>
      <c r="D106" s="15">
        <v>0.9661494307958125</v>
      </c>
      <c r="E106" s="14">
        <v>0.96307614991003165</v>
      </c>
      <c r="F106" s="14">
        <v>0.95808130648591183</v>
      </c>
      <c r="G106" s="14">
        <v>0.92958031095366611</v>
      </c>
      <c r="H106" s="14">
        <v>0.9618051210485421</v>
      </c>
      <c r="I106" s="14">
        <v>0.93136971307201577</v>
      </c>
      <c r="J106" s="14">
        <v>0.91867828078354385</v>
      </c>
      <c r="K106" s="14">
        <v>0.92744137989203779</v>
      </c>
      <c r="L106" s="14">
        <v>0.93120304768331075</v>
      </c>
      <c r="M106" s="14">
        <v>0.92889499115650431</v>
      </c>
      <c r="N106" s="14">
        <v>0.93985381394920875</v>
      </c>
      <c r="P106">
        <f t="shared" si="7"/>
        <v>0</v>
      </c>
      <c r="Q106">
        <f t="shared" si="7"/>
        <v>1</v>
      </c>
      <c r="R106">
        <f t="shared" si="7"/>
        <v>0</v>
      </c>
      <c r="S106">
        <f t="shared" si="7"/>
        <v>0</v>
      </c>
      <c r="T106">
        <f t="shared" si="7"/>
        <v>0</v>
      </c>
      <c r="U106">
        <f t="shared" si="7"/>
        <v>0</v>
      </c>
      <c r="V106">
        <f t="shared" si="7"/>
        <v>0</v>
      </c>
      <c r="W106">
        <f t="shared" si="7"/>
        <v>0</v>
      </c>
      <c r="X106">
        <f t="shared" si="7"/>
        <v>0</v>
      </c>
      <c r="Y106">
        <f t="shared" si="7"/>
        <v>0</v>
      </c>
      <c r="Z106">
        <f t="shared" si="7"/>
        <v>0</v>
      </c>
      <c r="AA106">
        <f t="shared" si="7"/>
        <v>0</v>
      </c>
    </row>
    <row r="107" spans="2:27" x14ac:dyDescent="0.25">
      <c r="B107" s="19" t="s">
        <v>158</v>
      </c>
      <c r="C107" s="14">
        <v>0.86010594859889233</v>
      </c>
      <c r="D107" s="15">
        <v>0.93826581628496941</v>
      </c>
      <c r="E107" s="14">
        <v>0.90257423747847154</v>
      </c>
      <c r="F107" s="14">
        <v>0.89856343533258842</v>
      </c>
      <c r="G107" s="14">
        <v>0.89732446149280842</v>
      </c>
      <c r="H107" s="14">
        <v>0.92555418092212449</v>
      </c>
      <c r="I107" s="14">
        <v>0.8950225396243543</v>
      </c>
      <c r="J107" s="14">
        <v>0.87385183924498455</v>
      </c>
      <c r="K107" s="14">
        <v>0.88263689603407358</v>
      </c>
      <c r="L107" s="14">
        <v>0.88958332606014046</v>
      </c>
      <c r="M107" s="14">
        <v>0.87364947720290465</v>
      </c>
      <c r="N107" s="14">
        <v>0.90883722740073547</v>
      </c>
      <c r="P107">
        <f t="shared" si="7"/>
        <v>0</v>
      </c>
      <c r="Q107">
        <f t="shared" si="7"/>
        <v>1</v>
      </c>
      <c r="R107">
        <f t="shared" si="7"/>
        <v>0</v>
      </c>
      <c r="S107">
        <f t="shared" si="7"/>
        <v>0</v>
      </c>
      <c r="T107">
        <f t="shared" si="7"/>
        <v>0</v>
      </c>
      <c r="U107">
        <f t="shared" si="7"/>
        <v>0</v>
      </c>
      <c r="V107">
        <f t="shared" si="7"/>
        <v>0</v>
      </c>
      <c r="W107">
        <f t="shared" si="7"/>
        <v>0</v>
      </c>
      <c r="X107">
        <f t="shared" si="7"/>
        <v>0</v>
      </c>
      <c r="Y107">
        <f t="shared" si="7"/>
        <v>0</v>
      </c>
      <c r="Z107">
        <f t="shared" si="7"/>
        <v>0</v>
      </c>
      <c r="AA107">
        <f t="shared" si="7"/>
        <v>0</v>
      </c>
    </row>
    <row r="108" spans="2:27" x14ac:dyDescent="0.25">
      <c r="B108" s="19" t="s">
        <v>160</v>
      </c>
      <c r="C108" s="14">
        <v>0.93214752410820967</v>
      </c>
      <c r="D108" s="15">
        <v>0.99027844448711388</v>
      </c>
      <c r="E108" s="14">
        <v>0.98076330218467311</v>
      </c>
      <c r="F108" s="14">
        <v>0.95989730009387264</v>
      </c>
      <c r="G108" s="14">
        <v>0.96267974483700292</v>
      </c>
      <c r="H108" s="14">
        <v>0.97896772060078496</v>
      </c>
      <c r="I108" s="14">
        <v>0.97627554830175789</v>
      </c>
      <c r="J108" s="14">
        <v>0.97066038893155826</v>
      </c>
      <c r="K108" s="14">
        <v>0.96241359447004604</v>
      </c>
      <c r="L108" s="14">
        <v>0.93200284818228363</v>
      </c>
      <c r="M108" s="14">
        <v>0.94502488159242204</v>
      </c>
      <c r="N108" s="14">
        <v>0.96189449458098653</v>
      </c>
      <c r="P108">
        <f t="shared" si="7"/>
        <v>0</v>
      </c>
      <c r="Q108">
        <f t="shared" si="7"/>
        <v>1</v>
      </c>
      <c r="R108">
        <f t="shared" si="7"/>
        <v>0</v>
      </c>
      <c r="S108">
        <f t="shared" si="7"/>
        <v>0</v>
      </c>
      <c r="T108">
        <f t="shared" si="7"/>
        <v>0</v>
      </c>
      <c r="U108">
        <f t="shared" si="7"/>
        <v>0</v>
      </c>
      <c r="V108">
        <f t="shared" si="7"/>
        <v>0</v>
      </c>
      <c r="W108">
        <f t="shared" si="7"/>
        <v>0</v>
      </c>
      <c r="X108">
        <f t="shared" si="7"/>
        <v>0</v>
      </c>
      <c r="Y108">
        <f t="shared" si="7"/>
        <v>0</v>
      </c>
      <c r="Z108">
        <f t="shared" si="7"/>
        <v>0</v>
      </c>
      <c r="AA108">
        <f t="shared" si="7"/>
        <v>0</v>
      </c>
    </row>
    <row r="109" spans="2:27" x14ac:dyDescent="0.25">
      <c r="B109" s="19" t="s">
        <v>162</v>
      </c>
      <c r="C109" s="14">
        <v>0.59978595890410979</v>
      </c>
      <c r="D109" s="14">
        <v>0.65242579908675802</v>
      </c>
      <c r="E109" s="14">
        <v>0.76190068493150698</v>
      </c>
      <c r="F109" s="14">
        <v>0.78685787671232876</v>
      </c>
      <c r="G109" s="14">
        <v>0.80506563926940633</v>
      </c>
      <c r="H109" s="14">
        <v>0.77983732876712331</v>
      </c>
      <c r="I109" s="14">
        <v>0.67729737442922378</v>
      </c>
      <c r="J109" s="14">
        <v>0.71578196347031964</v>
      </c>
      <c r="K109" s="14">
        <v>0.75615011415525102</v>
      </c>
      <c r="L109" s="14">
        <v>0.61502568493150689</v>
      </c>
      <c r="M109" s="14">
        <v>0.71638127853881284</v>
      </c>
      <c r="N109" s="15">
        <v>0.8305365296803654</v>
      </c>
      <c r="P109">
        <f t="shared" si="7"/>
        <v>0</v>
      </c>
      <c r="Q109">
        <f t="shared" si="7"/>
        <v>0</v>
      </c>
      <c r="R109">
        <f t="shared" si="7"/>
        <v>0</v>
      </c>
      <c r="S109">
        <f t="shared" si="7"/>
        <v>0</v>
      </c>
      <c r="T109">
        <f t="shared" si="7"/>
        <v>0</v>
      </c>
      <c r="U109">
        <f t="shared" si="7"/>
        <v>0</v>
      </c>
      <c r="V109">
        <f t="shared" si="7"/>
        <v>0</v>
      </c>
      <c r="W109">
        <f t="shared" si="7"/>
        <v>0</v>
      </c>
      <c r="X109">
        <f t="shared" si="7"/>
        <v>0</v>
      </c>
      <c r="Y109">
        <f t="shared" si="7"/>
        <v>0</v>
      </c>
      <c r="Z109">
        <f t="shared" si="7"/>
        <v>0</v>
      </c>
      <c r="AA109">
        <f t="shared" si="7"/>
        <v>1</v>
      </c>
    </row>
    <row r="110" spans="2:27" x14ac:dyDescent="0.25">
      <c r="B110" s="19" t="s">
        <v>164</v>
      </c>
      <c r="C110" s="14">
        <v>0.59053938356164393</v>
      </c>
      <c r="D110" s="14">
        <v>0.63454623287671219</v>
      </c>
      <c r="E110" s="14">
        <v>0.74781678082191783</v>
      </c>
      <c r="F110" s="14">
        <v>0.74182363013698627</v>
      </c>
      <c r="G110" s="14">
        <v>0.76078767123287661</v>
      </c>
      <c r="H110" s="14">
        <v>0.77367294520547936</v>
      </c>
      <c r="I110" s="14">
        <v>0.74987157534246562</v>
      </c>
      <c r="J110" s="14">
        <v>0.6</v>
      </c>
      <c r="K110" s="14">
        <v>0.7437071917808219</v>
      </c>
      <c r="L110" s="14">
        <v>0.75920376712328763</v>
      </c>
      <c r="M110" s="14">
        <v>0.67251712328767133</v>
      </c>
      <c r="N110" s="15">
        <v>0.81048801369863011</v>
      </c>
      <c r="P110">
        <f t="shared" si="7"/>
        <v>0</v>
      </c>
      <c r="Q110">
        <f t="shared" si="7"/>
        <v>0</v>
      </c>
      <c r="R110">
        <f t="shared" si="7"/>
        <v>0</v>
      </c>
      <c r="S110">
        <f t="shared" si="7"/>
        <v>0</v>
      </c>
      <c r="T110">
        <f t="shared" si="7"/>
        <v>0</v>
      </c>
      <c r="U110">
        <f t="shared" si="7"/>
        <v>0</v>
      </c>
      <c r="V110">
        <f t="shared" si="7"/>
        <v>0</v>
      </c>
      <c r="W110">
        <f t="shared" si="7"/>
        <v>0</v>
      </c>
      <c r="X110">
        <f t="shared" si="7"/>
        <v>0</v>
      </c>
      <c r="Y110">
        <f t="shared" si="7"/>
        <v>0</v>
      </c>
      <c r="Z110">
        <f t="shared" si="7"/>
        <v>0</v>
      </c>
      <c r="AA110">
        <f t="shared" si="7"/>
        <v>1</v>
      </c>
    </row>
    <row r="111" spans="2:27" x14ac:dyDescent="0.25">
      <c r="B111" s="19" t="s">
        <v>166</v>
      </c>
      <c r="C111" s="14">
        <v>0.5061512009495881</v>
      </c>
      <c r="D111" s="14">
        <v>0.54248673369641121</v>
      </c>
      <c r="E111" s="14">
        <v>0.59180177349532193</v>
      </c>
      <c r="F111" s="14">
        <v>0.58371674696271469</v>
      </c>
      <c r="G111" s="14">
        <v>0.59614264767490577</v>
      </c>
      <c r="H111" s="14">
        <v>0.58531149629939938</v>
      </c>
      <c r="I111" s="14">
        <v>0.60074413489736056</v>
      </c>
      <c r="J111" s="14">
        <v>0.5516218928920541</v>
      </c>
      <c r="K111" s="14">
        <v>0.58725937369082515</v>
      </c>
      <c r="L111" s="14">
        <v>0.63627295419634111</v>
      </c>
      <c r="M111" s="14">
        <v>0.53424870828096627</v>
      </c>
      <c r="N111" s="15">
        <v>0.66662625680770848</v>
      </c>
      <c r="P111">
        <f t="shared" si="7"/>
        <v>0</v>
      </c>
      <c r="Q111">
        <f t="shared" si="7"/>
        <v>0</v>
      </c>
      <c r="R111">
        <f t="shared" si="7"/>
        <v>0</v>
      </c>
      <c r="S111">
        <f t="shared" si="7"/>
        <v>0</v>
      </c>
      <c r="T111">
        <f t="shared" si="7"/>
        <v>0</v>
      </c>
      <c r="U111">
        <f t="shared" si="7"/>
        <v>0</v>
      </c>
      <c r="V111">
        <f t="shared" si="7"/>
        <v>0</v>
      </c>
      <c r="W111">
        <f t="shared" si="7"/>
        <v>0</v>
      </c>
      <c r="X111">
        <f t="shared" si="7"/>
        <v>0</v>
      </c>
      <c r="Y111">
        <f t="shared" si="7"/>
        <v>0</v>
      </c>
      <c r="Z111">
        <f t="shared" si="7"/>
        <v>0</v>
      </c>
      <c r="AA111">
        <f t="shared" si="7"/>
        <v>1</v>
      </c>
    </row>
    <row r="112" spans="2:27" x14ac:dyDescent="0.25">
      <c r="B112" s="2" t="s">
        <v>171</v>
      </c>
      <c r="C112" s="2">
        <f>P112</f>
        <v>2</v>
      </c>
      <c r="D112" s="2">
        <f t="shared" ref="D112:N112" si="8">Q112</f>
        <v>6</v>
      </c>
      <c r="E112" s="2">
        <f t="shared" si="8"/>
        <v>2</v>
      </c>
      <c r="F112" s="2">
        <f t="shared" si="8"/>
        <v>5</v>
      </c>
      <c r="G112" s="2">
        <f t="shared" si="8"/>
        <v>8</v>
      </c>
      <c r="H112" s="2">
        <f t="shared" si="8"/>
        <v>4</v>
      </c>
      <c r="I112" s="2">
        <f t="shared" si="8"/>
        <v>3</v>
      </c>
      <c r="J112" s="2">
        <f t="shared" si="8"/>
        <v>0</v>
      </c>
      <c r="K112" s="2">
        <f t="shared" si="8"/>
        <v>2</v>
      </c>
      <c r="L112" s="2">
        <f t="shared" si="8"/>
        <v>3</v>
      </c>
      <c r="M112" s="2">
        <f t="shared" si="8"/>
        <v>0</v>
      </c>
      <c r="N112" s="46">
        <f t="shared" si="8"/>
        <v>18</v>
      </c>
      <c r="P112">
        <f t="shared" ref="P112:AA112" si="9">SUM(P60:P111)</f>
        <v>2</v>
      </c>
      <c r="Q112">
        <f t="shared" si="9"/>
        <v>6</v>
      </c>
      <c r="R112">
        <f t="shared" si="9"/>
        <v>2</v>
      </c>
      <c r="S112">
        <f t="shared" si="9"/>
        <v>5</v>
      </c>
      <c r="T112">
        <f t="shared" si="9"/>
        <v>8</v>
      </c>
      <c r="U112">
        <f t="shared" si="9"/>
        <v>4</v>
      </c>
      <c r="V112">
        <f t="shared" si="9"/>
        <v>3</v>
      </c>
      <c r="W112">
        <f t="shared" si="9"/>
        <v>0</v>
      </c>
      <c r="X112">
        <f t="shared" si="9"/>
        <v>2</v>
      </c>
      <c r="Y112">
        <f t="shared" si="9"/>
        <v>3</v>
      </c>
      <c r="Z112">
        <f t="shared" si="9"/>
        <v>0</v>
      </c>
      <c r="AA112">
        <f t="shared" si="9"/>
        <v>18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F5ED5-3EEF-47CC-8E6D-CCBA45F38C6C}">
  <sheetPr codeName="Sheet4"/>
  <dimension ref="B2:AA113"/>
  <sheetViews>
    <sheetView topLeftCell="A46" zoomScale="70" zoomScaleNormal="70" workbookViewId="0">
      <selection activeCell="F83" sqref="B60:N113"/>
    </sheetView>
  </sheetViews>
  <sheetFormatPr defaultRowHeight="15" x14ac:dyDescent="0.25"/>
  <cols>
    <col min="3" max="14" width="11.7109375" bestFit="1" customWidth="1"/>
  </cols>
  <sheetData>
    <row r="2" spans="2:27" x14ac:dyDescent="0.25">
      <c r="B2" s="12" t="s">
        <v>169</v>
      </c>
      <c r="C2" s="6" t="s">
        <v>0</v>
      </c>
      <c r="D2" s="6" t="s">
        <v>1</v>
      </c>
      <c r="E2" s="6" t="s">
        <v>2</v>
      </c>
      <c r="F2" s="6" t="s">
        <v>3</v>
      </c>
      <c r="G2" s="6" t="s">
        <v>4</v>
      </c>
      <c r="H2" s="6" t="s">
        <v>5</v>
      </c>
      <c r="I2" s="6" t="s">
        <v>6</v>
      </c>
      <c r="J2" s="6" t="s">
        <v>7</v>
      </c>
      <c r="K2" s="6" t="s">
        <v>8</v>
      </c>
      <c r="L2" s="6" t="s">
        <v>9</v>
      </c>
      <c r="M2" s="6" t="s">
        <v>10</v>
      </c>
      <c r="N2" s="6" t="s">
        <v>11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6</v>
      </c>
      <c r="W2" s="1" t="s">
        <v>7</v>
      </c>
      <c r="X2" s="1" t="s">
        <v>8</v>
      </c>
      <c r="Y2" s="1" t="s">
        <v>9</v>
      </c>
      <c r="Z2" s="1" t="s">
        <v>10</v>
      </c>
      <c r="AA2" s="1" t="s">
        <v>11</v>
      </c>
    </row>
    <row r="3" spans="2:27" x14ac:dyDescent="0.25">
      <c r="B3" s="13" t="s">
        <v>65</v>
      </c>
      <c r="C3" s="14">
        <v>7.75</v>
      </c>
      <c r="D3" s="14">
        <v>8.5</v>
      </c>
      <c r="E3" s="14">
        <v>6.375</v>
      </c>
      <c r="F3" s="14">
        <v>6.625</v>
      </c>
      <c r="G3" s="14">
        <v>5.875</v>
      </c>
      <c r="H3" s="14">
        <v>5.625</v>
      </c>
      <c r="I3" s="14">
        <v>5.375</v>
      </c>
      <c r="J3" s="14">
        <v>8.375</v>
      </c>
      <c r="K3" s="14">
        <v>6.1875</v>
      </c>
      <c r="L3" s="14">
        <v>5.875</v>
      </c>
      <c r="M3" s="14">
        <v>8.125</v>
      </c>
      <c r="N3" s="15">
        <v>3.3125</v>
      </c>
      <c r="P3">
        <f>IF(C3=MIN($C3:$N3),1,0)</f>
        <v>0</v>
      </c>
      <c r="Q3">
        <f t="shared" ref="Q3:AA18" si="0">IF(D3=MIN($C3:$N3),1,0)</f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1</v>
      </c>
    </row>
    <row r="4" spans="2:27" x14ac:dyDescent="0.25">
      <c r="B4" s="13" t="s">
        <v>67</v>
      </c>
      <c r="C4" s="14">
        <v>9</v>
      </c>
      <c r="D4" s="14">
        <v>8.4375</v>
      </c>
      <c r="E4" s="14">
        <v>5</v>
      </c>
      <c r="F4" s="14">
        <v>7.6875</v>
      </c>
      <c r="G4" s="14">
        <v>4.875</v>
      </c>
      <c r="H4" s="14">
        <v>6.25</v>
      </c>
      <c r="I4" s="14">
        <v>4.625</v>
      </c>
      <c r="J4" s="14">
        <v>8</v>
      </c>
      <c r="K4" s="14">
        <v>6.25</v>
      </c>
      <c r="L4" s="14">
        <v>7.625</v>
      </c>
      <c r="M4" s="14">
        <v>7.25</v>
      </c>
      <c r="N4" s="15">
        <v>3</v>
      </c>
      <c r="P4">
        <f t="shared" ref="P4:AA38" si="1">IF(C4=MIN($C4:$N4),1,0)</f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1</v>
      </c>
    </row>
    <row r="5" spans="2:27" x14ac:dyDescent="0.25">
      <c r="B5" s="13" t="s">
        <v>69</v>
      </c>
      <c r="C5" s="14">
        <v>8.375</v>
      </c>
      <c r="D5" s="14">
        <v>9.625</v>
      </c>
      <c r="E5" s="14">
        <v>5.75</v>
      </c>
      <c r="F5" s="14">
        <v>5.875</v>
      </c>
      <c r="G5" s="15">
        <v>4.375</v>
      </c>
      <c r="H5" s="14">
        <v>5.375</v>
      </c>
      <c r="I5" s="14">
        <v>4.875</v>
      </c>
      <c r="J5" s="14">
        <v>7.25</v>
      </c>
      <c r="K5" s="14">
        <v>6.375</v>
      </c>
      <c r="L5" s="14">
        <v>7.25</v>
      </c>
      <c r="M5" s="14">
        <v>8.375</v>
      </c>
      <c r="N5" s="14">
        <v>4.5</v>
      </c>
      <c r="P5">
        <f t="shared" si="1"/>
        <v>0</v>
      </c>
      <c r="Q5">
        <f t="shared" si="0"/>
        <v>0</v>
      </c>
      <c r="R5">
        <f t="shared" si="0"/>
        <v>0</v>
      </c>
      <c r="S5">
        <f t="shared" si="0"/>
        <v>0</v>
      </c>
      <c r="T5">
        <f t="shared" si="0"/>
        <v>1</v>
      </c>
      <c r="U5">
        <f t="shared" si="0"/>
        <v>0</v>
      </c>
      <c r="V5">
        <f t="shared" si="0"/>
        <v>0</v>
      </c>
      <c r="W5">
        <f t="shared" si="0"/>
        <v>0</v>
      </c>
      <c r="X5">
        <f t="shared" si="0"/>
        <v>0</v>
      </c>
      <c r="Y5">
        <f t="shared" si="0"/>
        <v>0</v>
      </c>
      <c r="Z5">
        <f t="shared" si="0"/>
        <v>0</v>
      </c>
      <c r="AA5">
        <f t="shared" si="0"/>
        <v>0</v>
      </c>
    </row>
    <row r="6" spans="2:27" x14ac:dyDescent="0.25">
      <c r="B6" s="13" t="s">
        <v>71</v>
      </c>
      <c r="C6" s="14">
        <v>8.125</v>
      </c>
      <c r="D6" s="14">
        <v>7.625</v>
      </c>
      <c r="E6" s="14">
        <v>6.25</v>
      </c>
      <c r="F6" s="14">
        <v>8</v>
      </c>
      <c r="G6" s="14">
        <v>6</v>
      </c>
      <c r="H6" s="14">
        <v>5.25</v>
      </c>
      <c r="I6" s="14">
        <v>6.875</v>
      </c>
      <c r="J6" s="14">
        <v>7.875</v>
      </c>
      <c r="K6" s="14">
        <v>7.25</v>
      </c>
      <c r="L6" s="14">
        <v>4.875</v>
      </c>
      <c r="M6" s="14">
        <v>5.75</v>
      </c>
      <c r="N6" s="15">
        <v>4.125</v>
      </c>
      <c r="P6">
        <f t="shared" si="1"/>
        <v>0</v>
      </c>
      <c r="Q6">
        <f t="shared" si="0"/>
        <v>0</v>
      </c>
      <c r="R6">
        <f t="shared" si="0"/>
        <v>0</v>
      </c>
      <c r="S6">
        <f t="shared" si="0"/>
        <v>0</v>
      </c>
      <c r="T6">
        <f t="shared" si="0"/>
        <v>0</v>
      </c>
      <c r="U6">
        <f t="shared" si="0"/>
        <v>0</v>
      </c>
      <c r="V6">
        <f t="shared" si="0"/>
        <v>0</v>
      </c>
      <c r="W6">
        <f t="shared" si="0"/>
        <v>0</v>
      </c>
      <c r="X6">
        <f t="shared" si="0"/>
        <v>0</v>
      </c>
      <c r="Y6">
        <f t="shared" si="0"/>
        <v>0</v>
      </c>
      <c r="Z6">
        <f t="shared" si="0"/>
        <v>0</v>
      </c>
      <c r="AA6">
        <f t="shared" si="0"/>
        <v>1</v>
      </c>
    </row>
    <row r="7" spans="2:27" x14ac:dyDescent="0.25">
      <c r="B7" s="13" t="s">
        <v>73</v>
      </c>
      <c r="C7" s="14">
        <v>7.5625</v>
      </c>
      <c r="D7" s="14">
        <v>10</v>
      </c>
      <c r="E7" s="14">
        <v>7.0625</v>
      </c>
      <c r="F7" s="14">
        <v>5.3125</v>
      </c>
      <c r="G7" s="15">
        <v>3.25</v>
      </c>
      <c r="H7" s="14">
        <v>8.0625</v>
      </c>
      <c r="I7" s="14">
        <v>5.375</v>
      </c>
      <c r="J7" s="14">
        <v>7.25</v>
      </c>
      <c r="K7" s="14">
        <v>4.875</v>
      </c>
      <c r="L7" s="14">
        <v>7.875</v>
      </c>
      <c r="M7" s="14">
        <v>5.9375</v>
      </c>
      <c r="N7" s="14">
        <v>5.4375</v>
      </c>
      <c r="P7">
        <f t="shared" si="1"/>
        <v>0</v>
      </c>
      <c r="Q7">
        <f t="shared" si="0"/>
        <v>0</v>
      </c>
      <c r="R7">
        <f t="shared" si="0"/>
        <v>0</v>
      </c>
      <c r="S7">
        <f t="shared" si="0"/>
        <v>0</v>
      </c>
      <c r="T7">
        <f t="shared" si="0"/>
        <v>1</v>
      </c>
      <c r="U7">
        <f t="shared" si="0"/>
        <v>0</v>
      </c>
      <c r="V7">
        <f t="shared" si="0"/>
        <v>0</v>
      </c>
      <c r="W7">
        <f t="shared" si="0"/>
        <v>0</v>
      </c>
      <c r="X7">
        <f t="shared" si="0"/>
        <v>0</v>
      </c>
      <c r="Y7">
        <f t="shared" si="0"/>
        <v>0</v>
      </c>
      <c r="Z7">
        <f t="shared" si="0"/>
        <v>0</v>
      </c>
      <c r="AA7">
        <f t="shared" si="0"/>
        <v>0</v>
      </c>
    </row>
    <row r="8" spans="2:27" x14ac:dyDescent="0.25">
      <c r="B8" s="13" t="s">
        <v>75</v>
      </c>
      <c r="C8" s="14">
        <v>7.0625</v>
      </c>
      <c r="D8" s="14">
        <v>9.4375</v>
      </c>
      <c r="E8" s="14">
        <v>5.3125</v>
      </c>
      <c r="F8" s="14">
        <v>5.125</v>
      </c>
      <c r="G8" s="15">
        <v>3.5</v>
      </c>
      <c r="H8" s="14">
        <v>5.75</v>
      </c>
      <c r="I8" s="14">
        <v>8.75</v>
      </c>
      <c r="J8" s="14">
        <v>4.9375</v>
      </c>
      <c r="K8" s="14">
        <v>7.75</v>
      </c>
      <c r="L8" s="14">
        <v>6.9375</v>
      </c>
      <c r="M8" s="14">
        <v>7.6875</v>
      </c>
      <c r="N8" s="14">
        <v>5.75</v>
      </c>
      <c r="P8">
        <f t="shared" si="1"/>
        <v>0</v>
      </c>
      <c r="Q8">
        <f t="shared" si="0"/>
        <v>0</v>
      </c>
      <c r="R8">
        <f t="shared" si="0"/>
        <v>0</v>
      </c>
      <c r="S8">
        <f t="shared" si="0"/>
        <v>0</v>
      </c>
      <c r="T8">
        <f t="shared" si="0"/>
        <v>1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</row>
    <row r="9" spans="2:27" x14ac:dyDescent="0.25">
      <c r="B9" s="13" t="s">
        <v>77</v>
      </c>
      <c r="C9" s="14">
        <v>7.375</v>
      </c>
      <c r="D9" s="14">
        <v>9.375</v>
      </c>
      <c r="E9" s="14">
        <v>7.375</v>
      </c>
      <c r="F9" s="15">
        <v>2.75</v>
      </c>
      <c r="G9" s="14">
        <v>7.125</v>
      </c>
      <c r="H9" s="14">
        <v>5.625</v>
      </c>
      <c r="I9" s="14">
        <v>8.125</v>
      </c>
      <c r="J9" s="14">
        <v>8.0625</v>
      </c>
      <c r="K9" s="14">
        <v>7.875</v>
      </c>
      <c r="L9" s="14">
        <v>6.5</v>
      </c>
      <c r="M9" s="14">
        <v>4.5625</v>
      </c>
      <c r="N9" s="14">
        <v>3.25</v>
      </c>
      <c r="P9">
        <f t="shared" si="1"/>
        <v>0</v>
      </c>
      <c r="Q9">
        <f t="shared" si="0"/>
        <v>0</v>
      </c>
      <c r="R9">
        <f t="shared" si="0"/>
        <v>0</v>
      </c>
      <c r="S9">
        <f t="shared" si="0"/>
        <v>1</v>
      </c>
      <c r="T9">
        <f t="shared" si="0"/>
        <v>0</v>
      </c>
      <c r="U9">
        <f t="shared" si="0"/>
        <v>0</v>
      </c>
      <c r="V9">
        <f t="shared" si="0"/>
        <v>0</v>
      </c>
      <c r="W9">
        <f t="shared" si="0"/>
        <v>0</v>
      </c>
      <c r="X9">
        <f t="shared" si="0"/>
        <v>0</v>
      </c>
      <c r="Y9">
        <f t="shared" si="0"/>
        <v>0</v>
      </c>
      <c r="Z9">
        <f t="shared" si="0"/>
        <v>0</v>
      </c>
      <c r="AA9">
        <f t="shared" si="0"/>
        <v>0</v>
      </c>
    </row>
    <row r="10" spans="2:27" x14ac:dyDescent="0.25">
      <c r="B10" s="13" t="s">
        <v>79</v>
      </c>
      <c r="C10" s="14">
        <v>8.25</v>
      </c>
      <c r="D10" s="14">
        <v>9.75</v>
      </c>
      <c r="E10" s="14">
        <v>8.25</v>
      </c>
      <c r="F10" s="15">
        <v>3.875</v>
      </c>
      <c r="G10" s="14">
        <v>4.4375</v>
      </c>
      <c r="H10" s="14">
        <v>6</v>
      </c>
      <c r="I10" s="14">
        <v>4.5625</v>
      </c>
      <c r="J10" s="14">
        <v>4.875</v>
      </c>
      <c r="K10" s="14">
        <v>6.4375</v>
      </c>
      <c r="L10" s="14">
        <v>8.5</v>
      </c>
      <c r="M10" s="14">
        <v>8.375</v>
      </c>
      <c r="N10" s="14">
        <v>4.6875</v>
      </c>
      <c r="P10">
        <f t="shared" si="1"/>
        <v>0</v>
      </c>
      <c r="Q10">
        <f t="shared" si="0"/>
        <v>0</v>
      </c>
      <c r="R10">
        <f t="shared" si="0"/>
        <v>0</v>
      </c>
      <c r="S10">
        <f t="shared" si="0"/>
        <v>1</v>
      </c>
      <c r="T10">
        <f t="shared" si="0"/>
        <v>0</v>
      </c>
      <c r="U10">
        <f t="shared" si="0"/>
        <v>0</v>
      </c>
      <c r="V10">
        <f t="shared" si="0"/>
        <v>0</v>
      </c>
      <c r="W10">
        <f t="shared" si="0"/>
        <v>0</v>
      </c>
      <c r="X10">
        <f t="shared" si="0"/>
        <v>0</v>
      </c>
      <c r="Y10">
        <f t="shared" si="0"/>
        <v>0</v>
      </c>
      <c r="Z10">
        <f t="shared" si="0"/>
        <v>0</v>
      </c>
      <c r="AA10">
        <f t="shared" si="0"/>
        <v>0</v>
      </c>
    </row>
    <row r="11" spans="2:27" x14ac:dyDescent="0.25">
      <c r="B11" s="13" t="s">
        <v>81</v>
      </c>
      <c r="C11" s="14">
        <v>7.25</v>
      </c>
      <c r="D11" s="14">
        <v>9.125</v>
      </c>
      <c r="E11" s="14">
        <v>7.625</v>
      </c>
      <c r="F11" s="14">
        <v>7.1875</v>
      </c>
      <c r="G11" s="15">
        <v>4</v>
      </c>
      <c r="H11" s="14">
        <v>5.625</v>
      </c>
      <c r="I11" s="14">
        <v>6.375</v>
      </c>
      <c r="J11" s="14">
        <v>6.5</v>
      </c>
      <c r="K11" s="14">
        <v>4.875</v>
      </c>
      <c r="L11" s="14">
        <v>7.4375</v>
      </c>
      <c r="M11" s="14">
        <v>7.25</v>
      </c>
      <c r="N11" s="14">
        <v>4.75</v>
      </c>
      <c r="P11">
        <f t="shared" si="1"/>
        <v>0</v>
      </c>
      <c r="Q11">
        <f t="shared" si="0"/>
        <v>0</v>
      </c>
      <c r="R11">
        <f t="shared" si="0"/>
        <v>0</v>
      </c>
      <c r="S11">
        <f t="shared" si="0"/>
        <v>0</v>
      </c>
      <c r="T11">
        <f t="shared" si="0"/>
        <v>1</v>
      </c>
      <c r="U11">
        <f t="shared" si="0"/>
        <v>0</v>
      </c>
      <c r="V11">
        <f t="shared" si="0"/>
        <v>0</v>
      </c>
      <c r="W11">
        <f t="shared" si="0"/>
        <v>0</v>
      </c>
      <c r="X11">
        <f t="shared" si="0"/>
        <v>0</v>
      </c>
      <c r="Y11">
        <f t="shared" si="0"/>
        <v>0</v>
      </c>
      <c r="Z11">
        <f t="shared" si="0"/>
        <v>0</v>
      </c>
      <c r="AA11">
        <f t="shared" si="0"/>
        <v>0</v>
      </c>
    </row>
    <row r="12" spans="2:27" x14ac:dyDescent="0.25">
      <c r="B12" s="13" t="s">
        <v>83</v>
      </c>
      <c r="C12" s="14">
        <v>5.1875</v>
      </c>
      <c r="D12" s="14">
        <v>7.5</v>
      </c>
      <c r="E12" s="14">
        <v>4.4375</v>
      </c>
      <c r="F12" s="14">
        <v>7.375</v>
      </c>
      <c r="G12" s="14">
        <v>7.1875</v>
      </c>
      <c r="H12" s="14">
        <v>9.4375</v>
      </c>
      <c r="I12" s="14">
        <v>6.625</v>
      </c>
      <c r="J12" s="14">
        <v>9.125</v>
      </c>
      <c r="K12" s="14">
        <v>4.25</v>
      </c>
      <c r="L12" s="14">
        <v>7.1875</v>
      </c>
      <c r="M12" s="14">
        <v>5.5625</v>
      </c>
      <c r="N12" s="15">
        <v>4.125</v>
      </c>
      <c r="P12">
        <f t="shared" si="1"/>
        <v>0</v>
      </c>
      <c r="Q12">
        <f t="shared" si="0"/>
        <v>0</v>
      </c>
      <c r="R12">
        <f t="shared" si="0"/>
        <v>0</v>
      </c>
      <c r="S12">
        <f t="shared" si="0"/>
        <v>0</v>
      </c>
      <c r="T12">
        <f t="shared" si="0"/>
        <v>0</v>
      </c>
      <c r="U12">
        <f t="shared" si="0"/>
        <v>0</v>
      </c>
      <c r="V12">
        <f t="shared" si="0"/>
        <v>0</v>
      </c>
      <c r="W12">
        <f t="shared" si="0"/>
        <v>0</v>
      </c>
      <c r="X12">
        <f t="shared" si="0"/>
        <v>0</v>
      </c>
      <c r="Y12">
        <f t="shared" si="0"/>
        <v>0</v>
      </c>
      <c r="Z12">
        <f t="shared" si="0"/>
        <v>0</v>
      </c>
      <c r="AA12">
        <f t="shared" si="0"/>
        <v>1</v>
      </c>
    </row>
    <row r="13" spans="2:27" x14ac:dyDescent="0.25">
      <c r="B13" s="13" t="s">
        <v>85</v>
      </c>
      <c r="C13" s="14">
        <v>9.625</v>
      </c>
      <c r="D13" s="14">
        <v>7.875</v>
      </c>
      <c r="E13" s="14">
        <v>8.75</v>
      </c>
      <c r="F13" s="14">
        <v>4.75</v>
      </c>
      <c r="G13" s="15">
        <v>3</v>
      </c>
      <c r="H13" s="14">
        <v>3.75</v>
      </c>
      <c r="I13" s="14">
        <v>7.25</v>
      </c>
      <c r="J13" s="14">
        <v>7.375</v>
      </c>
      <c r="K13" s="14">
        <v>4.375</v>
      </c>
      <c r="L13" s="14">
        <v>6.875</v>
      </c>
      <c r="M13" s="14">
        <v>8.5</v>
      </c>
      <c r="N13" s="14">
        <v>5.875</v>
      </c>
      <c r="P13">
        <f t="shared" si="1"/>
        <v>0</v>
      </c>
      <c r="Q13">
        <f t="shared" si="0"/>
        <v>0</v>
      </c>
      <c r="R13">
        <f t="shared" si="0"/>
        <v>0</v>
      </c>
      <c r="S13">
        <f t="shared" si="0"/>
        <v>0</v>
      </c>
      <c r="T13">
        <f t="shared" si="0"/>
        <v>1</v>
      </c>
      <c r="U13">
        <f t="shared" si="0"/>
        <v>0</v>
      </c>
      <c r="V13">
        <f t="shared" si="0"/>
        <v>0</v>
      </c>
      <c r="W13">
        <f t="shared" si="0"/>
        <v>0</v>
      </c>
      <c r="X13">
        <f t="shared" si="0"/>
        <v>0</v>
      </c>
      <c r="Y13">
        <f t="shared" si="0"/>
        <v>0</v>
      </c>
      <c r="Z13">
        <f t="shared" si="0"/>
        <v>0</v>
      </c>
      <c r="AA13">
        <f t="shared" si="0"/>
        <v>0</v>
      </c>
    </row>
    <row r="14" spans="2:27" x14ac:dyDescent="0.25">
      <c r="B14" s="13" t="s">
        <v>87</v>
      </c>
      <c r="C14" s="14">
        <v>10.3125</v>
      </c>
      <c r="D14" s="14">
        <v>6.375</v>
      </c>
      <c r="E14" s="14">
        <v>6.625</v>
      </c>
      <c r="F14" s="14">
        <v>3.375</v>
      </c>
      <c r="G14" s="15">
        <v>2.5</v>
      </c>
      <c r="H14" s="14">
        <v>4.25</v>
      </c>
      <c r="I14" s="14">
        <v>5.375</v>
      </c>
      <c r="J14" s="14">
        <v>10.1875</v>
      </c>
      <c r="K14" s="14">
        <v>8.5</v>
      </c>
      <c r="L14" s="14">
        <v>9.5</v>
      </c>
      <c r="M14" s="14">
        <v>8</v>
      </c>
      <c r="N14" s="14">
        <v>3</v>
      </c>
      <c r="P14">
        <f t="shared" si="1"/>
        <v>0</v>
      </c>
      <c r="Q14">
        <f t="shared" si="0"/>
        <v>0</v>
      </c>
      <c r="R14">
        <f t="shared" si="0"/>
        <v>0</v>
      </c>
      <c r="S14">
        <f t="shared" si="0"/>
        <v>0</v>
      </c>
      <c r="T14">
        <f t="shared" si="0"/>
        <v>1</v>
      </c>
      <c r="U14">
        <f t="shared" si="0"/>
        <v>0</v>
      </c>
      <c r="V14">
        <f t="shared" si="0"/>
        <v>0</v>
      </c>
      <c r="W14">
        <f t="shared" si="0"/>
        <v>0</v>
      </c>
      <c r="X14">
        <f t="shared" si="0"/>
        <v>0</v>
      </c>
      <c r="Y14">
        <f t="shared" si="0"/>
        <v>0</v>
      </c>
      <c r="Z14">
        <f t="shared" si="0"/>
        <v>0</v>
      </c>
      <c r="AA14">
        <f t="shared" si="0"/>
        <v>0</v>
      </c>
    </row>
    <row r="15" spans="2:27" x14ac:dyDescent="0.25">
      <c r="B15" s="13" t="s">
        <v>88</v>
      </c>
      <c r="C15" s="14">
        <v>10.5</v>
      </c>
      <c r="D15" s="14">
        <v>7.125</v>
      </c>
      <c r="E15" s="14">
        <v>7.875</v>
      </c>
      <c r="F15" s="14">
        <v>8.375</v>
      </c>
      <c r="G15" s="14">
        <v>5.125</v>
      </c>
      <c r="H15" s="14">
        <v>5.25</v>
      </c>
      <c r="I15" s="14">
        <v>8</v>
      </c>
      <c r="J15" s="14">
        <v>8.75</v>
      </c>
      <c r="K15" s="14">
        <v>3.75</v>
      </c>
      <c r="L15" s="14">
        <v>3.875</v>
      </c>
      <c r="M15" s="14">
        <v>8</v>
      </c>
      <c r="N15" s="15">
        <v>1.375</v>
      </c>
      <c r="P15">
        <f t="shared" si="1"/>
        <v>0</v>
      </c>
      <c r="Q15">
        <f t="shared" si="0"/>
        <v>0</v>
      </c>
      <c r="R15">
        <f t="shared" si="0"/>
        <v>0</v>
      </c>
      <c r="S15">
        <f t="shared" si="0"/>
        <v>0</v>
      </c>
      <c r="T15">
        <f t="shared" si="0"/>
        <v>0</v>
      </c>
      <c r="U15">
        <f t="shared" si="0"/>
        <v>0</v>
      </c>
      <c r="V15">
        <f t="shared" si="0"/>
        <v>0</v>
      </c>
      <c r="W15">
        <f t="shared" si="0"/>
        <v>0</v>
      </c>
      <c r="X15">
        <f t="shared" si="0"/>
        <v>0</v>
      </c>
      <c r="Y15">
        <f t="shared" si="0"/>
        <v>0</v>
      </c>
      <c r="Z15">
        <f t="shared" si="0"/>
        <v>0</v>
      </c>
      <c r="AA15">
        <f t="shared" si="0"/>
        <v>1</v>
      </c>
    </row>
    <row r="16" spans="2:27" x14ac:dyDescent="0.25">
      <c r="B16" s="13" t="s">
        <v>90</v>
      </c>
      <c r="C16" s="14">
        <v>8</v>
      </c>
      <c r="D16" s="14">
        <v>7.9375</v>
      </c>
      <c r="E16" s="14">
        <v>4.8125</v>
      </c>
      <c r="F16" s="14">
        <v>7.0625</v>
      </c>
      <c r="G16" s="15">
        <v>4.25</v>
      </c>
      <c r="H16" s="14">
        <v>5.5</v>
      </c>
      <c r="I16" s="14">
        <v>4.5625</v>
      </c>
      <c r="J16" s="14">
        <v>7.5625</v>
      </c>
      <c r="K16" s="14">
        <v>6.6875</v>
      </c>
      <c r="L16" s="14">
        <v>10.125</v>
      </c>
      <c r="M16" s="14">
        <v>5.25</v>
      </c>
      <c r="N16" s="14">
        <v>6.25</v>
      </c>
      <c r="P16">
        <f t="shared" si="1"/>
        <v>0</v>
      </c>
      <c r="Q16">
        <f t="shared" si="0"/>
        <v>0</v>
      </c>
      <c r="R16">
        <f t="shared" si="0"/>
        <v>0</v>
      </c>
      <c r="S16">
        <f t="shared" si="0"/>
        <v>0</v>
      </c>
      <c r="T16">
        <f t="shared" si="0"/>
        <v>1</v>
      </c>
      <c r="U16">
        <f t="shared" si="0"/>
        <v>0</v>
      </c>
      <c r="V16">
        <f t="shared" si="0"/>
        <v>0</v>
      </c>
      <c r="W16">
        <f t="shared" si="0"/>
        <v>0</v>
      </c>
      <c r="X16">
        <f t="shared" si="0"/>
        <v>0</v>
      </c>
      <c r="Y16">
        <f t="shared" si="0"/>
        <v>0</v>
      </c>
      <c r="Z16">
        <f t="shared" si="0"/>
        <v>0</v>
      </c>
      <c r="AA16">
        <f t="shared" si="0"/>
        <v>0</v>
      </c>
    </row>
    <row r="17" spans="2:27" x14ac:dyDescent="0.25">
      <c r="B17" s="13" t="s">
        <v>92</v>
      </c>
      <c r="C17" s="14">
        <v>7.4375</v>
      </c>
      <c r="D17" s="14">
        <v>4</v>
      </c>
      <c r="E17" s="14">
        <v>7.125</v>
      </c>
      <c r="F17" s="14">
        <v>7.5</v>
      </c>
      <c r="G17" s="14">
        <v>6</v>
      </c>
      <c r="H17" s="14">
        <v>7.875</v>
      </c>
      <c r="I17" s="14">
        <v>8.0625</v>
      </c>
      <c r="J17" s="14">
        <v>6.25</v>
      </c>
      <c r="K17" s="14">
        <v>6.6875</v>
      </c>
      <c r="L17" s="14">
        <v>6.75</v>
      </c>
      <c r="M17" s="14">
        <v>6.9375</v>
      </c>
      <c r="N17" s="15">
        <v>3.375</v>
      </c>
      <c r="P17">
        <f t="shared" si="1"/>
        <v>0</v>
      </c>
      <c r="Q17">
        <f t="shared" si="0"/>
        <v>0</v>
      </c>
      <c r="R17">
        <f t="shared" si="0"/>
        <v>0</v>
      </c>
      <c r="S17">
        <f t="shared" si="0"/>
        <v>0</v>
      </c>
      <c r="T17">
        <f t="shared" si="0"/>
        <v>0</v>
      </c>
      <c r="U17">
        <f t="shared" si="0"/>
        <v>0</v>
      </c>
      <c r="V17">
        <f t="shared" si="0"/>
        <v>0</v>
      </c>
      <c r="W17">
        <f t="shared" si="0"/>
        <v>0</v>
      </c>
      <c r="X17">
        <f t="shared" si="0"/>
        <v>0</v>
      </c>
      <c r="Y17">
        <f t="shared" si="0"/>
        <v>0</v>
      </c>
      <c r="Z17">
        <f t="shared" si="0"/>
        <v>0</v>
      </c>
      <c r="AA17">
        <f t="shared" si="0"/>
        <v>1</v>
      </c>
    </row>
    <row r="18" spans="2:27" x14ac:dyDescent="0.25">
      <c r="B18" s="13" t="s">
        <v>94</v>
      </c>
      <c r="C18" s="14">
        <v>5.5</v>
      </c>
      <c r="D18" s="14">
        <v>5.5</v>
      </c>
      <c r="E18" s="15">
        <v>4.875</v>
      </c>
      <c r="F18" s="14">
        <v>5.375</v>
      </c>
      <c r="G18" s="14">
        <v>6.3125</v>
      </c>
      <c r="H18" s="14">
        <v>9.625</v>
      </c>
      <c r="I18" s="14">
        <v>7.0625</v>
      </c>
      <c r="J18" s="14">
        <v>6.0625</v>
      </c>
      <c r="K18" s="14">
        <v>6.375</v>
      </c>
      <c r="L18" s="14">
        <v>8.375</v>
      </c>
      <c r="M18" s="14">
        <v>7.1875</v>
      </c>
      <c r="N18" s="14">
        <v>5.75</v>
      </c>
      <c r="P18">
        <f t="shared" si="1"/>
        <v>0</v>
      </c>
      <c r="Q18">
        <f t="shared" si="0"/>
        <v>0</v>
      </c>
      <c r="R18">
        <f t="shared" si="0"/>
        <v>1</v>
      </c>
      <c r="S18">
        <f t="shared" si="0"/>
        <v>0</v>
      </c>
      <c r="T18">
        <f t="shared" si="0"/>
        <v>0</v>
      </c>
      <c r="U18">
        <f t="shared" si="0"/>
        <v>0</v>
      </c>
      <c r="V18">
        <f t="shared" si="0"/>
        <v>0</v>
      </c>
      <c r="W18">
        <f t="shared" si="0"/>
        <v>0</v>
      </c>
      <c r="X18">
        <f t="shared" si="0"/>
        <v>0</v>
      </c>
      <c r="Y18">
        <f t="shared" si="0"/>
        <v>0</v>
      </c>
      <c r="Z18">
        <f t="shared" si="0"/>
        <v>0</v>
      </c>
      <c r="AA18">
        <f t="shared" si="0"/>
        <v>0</v>
      </c>
    </row>
    <row r="19" spans="2:27" x14ac:dyDescent="0.25">
      <c r="B19" s="13" t="s">
        <v>96</v>
      </c>
      <c r="C19" s="14">
        <v>9.875</v>
      </c>
      <c r="D19" s="14">
        <v>6.375</v>
      </c>
      <c r="E19" s="14">
        <v>5</v>
      </c>
      <c r="F19" s="14">
        <v>4.875</v>
      </c>
      <c r="G19" s="14">
        <v>5.75</v>
      </c>
      <c r="H19" s="14">
        <v>5.5</v>
      </c>
      <c r="I19" s="14">
        <v>6.75</v>
      </c>
      <c r="J19" s="14">
        <v>8.375</v>
      </c>
      <c r="K19" s="14">
        <v>8.375</v>
      </c>
      <c r="L19" s="14">
        <v>6.25</v>
      </c>
      <c r="M19" s="14">
        <v>8.5</v>
      </c>
      <c r="N19" s="15">
        <v>2.375</v>
      </c>
      <c r="P19">
        <f t="shared" si="1"/>
        <v>0</v>
      </c>
      <c r="Q19">
        <f t="shared" si="1"/>
        <v>0</v>
      </c>
      <c r="R19">
        <f t="shared" si="1"/>
        <v>0</v>
      </c>
      <c r="S19">
        <f t="shared" si="1"/>
        <v>0</v>
      </c>
      <c r="T19">
        <f t="shared" si="1"/>
        <v>0</v>
      </c>
      <c r="U19">
        <f t="shared" si="1"/>
        <v>0</v>
      </c>
      <c r="V19">
        <f t="shared" si="1"/>
        <v>0</v>
      </c>
      <c r="W19">
        <f t="shared" si="1"/>
        <v>0</v>
      </c>
      <c r="X19">
        <f t="shared" si="1"/>
        <v>0</v>
      </c>
      <c r="Y19">
        <f t="shared" si="1"/>
        <v>0</v>
      </c>
      <c r="Z19">
        <f t="shared" si="1"/>
        <v>0</v>
      </c>
      <c r="AA19">
        <f t="shared" si="1"/>
        <v>1</v>
      </c>
    </row>
    <row r="20" spans="2:27" x14ac:dyDescent="0.25">
      <c r="B20" s="13" t="s">
        <v>98</v>
      </c>
      <c r="C20" s="14">
        <v>11.75</v>
      </c>
      <c r="D20" s="14">
        <v>8.75</v>
      </c>
      <c r="E20" s="14">
        <v>8.5</v>
      </c>
      <c r="F20" s="14">
        <v>7.875</v>
      </c>
      <c r="G20" s="14">
        <v>7.875</v>
      </c>
      <c r="H20" s="14">
        <v>3</v>
      </c>
      <c r="I20" s="14">
        <v>3.125</v>
      </c>
      <c r="J20" s="14">
        <v>9.625</v>
      </c>
      <c r="K20" s="14">
        <v>3.625</v>
      </c>
      <c r="L20" s="14">
        <v>4.75</v>
      </c>
      <c r="M20" s="14">
        <v>7.25</v>
      </c>
      <c r="N20" s="15">
        <v>1.875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1</v>
      </c>
    </row>
    <row r="21" spans="2:27" x14ac:dyDescent="0.25">
      <c r="B21" s="13" t="s">
        <v>100</v>
      </c>
      <c r="C21" s="14">
        <v>10.75</v>
      </c>
      <c r="D21" s="14">
        <v>3.375</v>
      </c>
      <c r="E21" s="14">
        <v>8.5</v>
      </c>
      <c r="F21" s="14">
        <v>6.375</v>
      </c>
      <c r="G21" s="14">
        <v>3.875</v>
      </c>
      <c r="H21" s="15">
        <v>2.375</v>
      </c>
      <c r="I21" s="14">
        <v>9</v>
      </c>
      <c r="J21" s="14">
        <v>7.125</v>
      </c>
      <c r="K21" s="14">
        <v>8.75</v>
      </c>
      <c r="L21" s="14">
        <v>5.375</v>
      </c>
      <c r="M21" s="14">
        <v>8</v>
      </c>
      <c r="N21" s="14">
        <v>4.5</v>
      </c>
      <c r="P21">
        <f t="shared" si="1"/>
        <v>0</v>
      </c>
      <c r="Q21">
        <f t="shared" si="1"/>
        <v>0</v>
      </c>
      <c r="R21">
        <f t="shared" si="1"/>
        <v>0</v>
      </c>
      <c r="S21">
        <f t="shared" si="1"/>
        <v>0</v>
      </c>
      <c r="T21">
        <f t="shared" si="1"/>
        <v>0</v>
      </c>
      <c r="U21">
        <f t="shared" si="1"/>
        <v>1</v>
      </c>
      <c r="V21">
        <f t="shared" si="1"/>
        <v>0</v>
      </c>
      <c r="W21">
        <f t="shared" si="1"/>
        <v>0</v>
      </c>
      <c r="X21">
        <f t="shared" si="1"/>
        <v>0</v>
      </c>
      <c r="Y21">
        <f t="shared" si="1"/>
        <v>0</v>
      </c>
      <c r="Z21">
        <f t="shared" si="1"/>
        <v>0</v>
      </c>
      <c r="AA21">
        <f t="shared" si="1"/>
        <v>0</v>
      </c>
    </row>
    <row r="22" spans="2:27" x14ac:dyDescent="0.25">
      <c r="B22" s="13" t="s">
        <v>102</v>
      </c>
      <c r="C22" s="15">
        <v>4.75</v>
      </c>
      <c r="D22" s="14">
        <v>6.9375</v>
      </c>
      <c r="E22" s="14">
        <v>7.4375</v>
      </c>
      <c r="F22" s="14">
        <v>6.6875</v>
      </c>
      <c r="G22" s="14">
        <v>4.8125</v>
      </c>
      <c r="H22" s="14">
        <v>5.5625</v>
      </c>
      <c r="I22" s="14">
        <v>7.75</v>
      </c>
      <c r="J22" s="14">
        <v>5.75</v>
      </c>
      <c r="K22" s="14">
        <v>8.25</v>
      </c>
      <c r="L22" s="14">
        <v>6.125</v>
      </c>
      <c r="M22" s="14">
        <v>7.625</v>
      </c>
      <c r="N22" s="14">
        <v>6.3125</v>
      </c>
      <c r="P22">
        <f t="shared" si="1"/>
        <v>1</v>
      </c>
      <c r="Q22">
        <f t="shared" si="1"/>
        <v>0</v>
      </c>
      <c r="R22">
        <f t="shared" si="1"/>
        <v>0</v>
      </c>
      <c r="S22">
        <f t="shared" si="1"/>
        <v>0</v>
      </c>
      <c r="T22">
        <f t="shared" si="1"/>
        <v>0</v>
      </c>
      <c r="U22">
        <f t="shared" si="1"/>
        <v>0</v>
      </c>
      <c r="V22">
        <f t="shared" si="1"/>
        <v>0</v>
      </c>
      <c r="W22">
        <f t="shared" si="1"/>
        <v>0</v>
      </c>
      <c r="X22">
        <f t="shared" si="1"/>
        <v>0</v>
      </c>
      <c r="Y22">
        <f t="shared" si="1"/>
        <v>0</v>
      </c>
      <c r="Z22">
        <f t="shared" si="1"/>
        <v>0</v>
      </c>
      <c r="AA22">
        <f t="shared" si="1"/>
        <v>0</v>
      </c>
    </row>
    <row r="23" spans="2:27" x14ac:dyDescent="0.25">
      <c r="B23" s="13" t="s">
        <v>104</v>
      </c>
      <c r="C23" s="14">
        <v>11.75</v>
      </c>
      <c r="D23" s="14">
        <v>4.625</v>
      </c>
      <c r="E23" s="14">
        <v>3.5</v>
      </c>
      <c r="F23" s="15">
        <v>2.5</v>
      </c>
      <c r="G23" s="14">
        <v>9.75</v>
      </c>
      <c r="H23" s="14">
        <v>4.125</v>
      </c>
      <c r="I23" s="14">
        <v>6.625</v>
      </c>
      <c r="J23" s="14">
        <v>10.875</v>
      </c>
      <c r="K23" s="14">
        <v>5.625</v>
      </c>
      <c r="L23" s="14">
        <v>6.25</v>
      </c>
      <c r="M23" s="14">
        <v>7.375</v>
      </c>
      <c r="N23" s="14">
        <v>5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1</v>
      </c>
      <c r="T23">
        <f t="shared" si="1"/>
        <v>0</v>
      </c>
      <c r="U23">
        <f t="shared" si="1"/>
        <v>0</v>
      </c>
      <c r="V23">
        <f t="shared" si="1"/>
        <v>0</v>
      </c>
      <c r="W23">
        <f t="shared" si="1"/>
        <v>0</v>
      </c>
      <c r="X23">
        <f t="shared" si="1"/>
        <v>0</v>
      </c>
      <c r="Y23">
        <f t="shared" si="1"/>
        <v>0</v>
      </c>
      <c r="Z23">
        <f t="shared" si="1"/>
        <v>0</v>
      </c>
      <c r="AA23">
        <f t="shared" si="1"/>
        <v>0</v>
      </c>
    </row>
    <row r="24" spans="2:27" x14ac:dyDescent="0.25">
      <c r="B24" s="13" t="s">
        <v>106</v>
      </c>
      <c r="C24" s="14">
        <v>9.125</v>
      </c>
      <c r="D24" s="14">
        <v>5</v>
      </c>
      <c r="E24" s="14">
        <v>6.875</v>
      </c>
      <c r="F24" s="14">
        <v>5</v>
      </c>
      <c r="G24" s="15">
        <v>3.875</v>
      </c>
      <c r="H24" s="14">
        <v>4.875</v>
      </c>
      <c r="I24" s="14">
        <v>7.125</v>
      </c>
      <c r="J24" s="14">
        <v>9.5</v>
      </c>
      <c r="K24" s="14">
        <v>6.875</v>
      </c>
      <c r="L24" s="14">
        <v>7.5</v>
      </c>
      <c r="M24" s="14">
        <v>6.75</v>
      </c>
      <c r="N24" s="14">
        <v>5.5</v>
      </c>
      <c r="P24">
        <f t="shared" si="1"/>
        <v>0</v>
      </c>
      <c r="Q24">
        <f t="shared" si="1"/>
        <v>0</v>
      </c>
      <c r="R24">
        <f t="shared" si="1"/>
        <v>0</v>
      </c>
      <c r="S24">
        <f t="shared" si="1"/>
        <v>0</v>
      </c>
      <c r="T24">
        <f t="shared" si="1"/>
        <v>1</v>
      </c>
      <c r="U24">
        <f t="shared" si="1"/>
        <v>0</v>
      </c>
      <c r="V24">
        <f t="shared" si="1"/>
        <v>0</v>
      </c>
      <c r="W24">
        <f t="shared" si="1"/>
        <v>0</v>
      </c>
      <c r="X24">
        <f t="shared" si="1"/>
        <v>0</v>
      </c>
      <c r="Y24">
        <f t="shared" si="1"/>
        <v>0</v>
      </c>
      <c r="Z24">
        <f t="shared" si="1"/>
        <v>0</v>
      </c>
      <c r="AA24">
        <f t="shared" si="1"/>
        <v>0</v>
      </c>
    </row>
    <row r="25" spans="2:27" x14ac:dyDescent="0.25">
      <c r="B25" s="13" t="s">
        <v>108</v>
      </c>
      <c r="C25" s="14">
        <v>8.5625</v>
      </c>
      <c r="D25" s="14">
        <v>6.4375</v>
      </c>
      <c r="E25" s="14">
        <v>5.125</v>
      </c>
      <c r="F25" s="15">
        <v>2.8125</v>
      </c>
      <c r="G25" s="14">
        <v>8.125</v>
      </c>
      <c r="H25" s="14">
        <v>4.4375</v>
      </c>
      <c r="I25" s="14">
        <v>3.3125</v>
      </c>
      <c r="J25" s="14">
        <v>9.8125</v>
      </c>
      <c r="K25" s="14">
        <v>6.0625</v>
      </c>
      <c r="L25" s="14">
        <v>9.25</v>
      </c>
      <c r="M25" s="14">
        <v>7.6875</v>
      </c>
      <c r="N25" s="14">
        <v>6.375</v>
      </c>
      <c r="P25">
        <f t="shared" si="1"/>
        <v>0</v>
      </c>
      <c r="Q25">
        <f t="shared" si="1"/>
        <v>0</v>
      </c>
      <c r="R25">
        <f t="shared" si="1"/>
        <v>0</v>
      </c>
      <c r="S25">
        <f t="shared" si="1"/>
        <v>1</v>
      </c>
      <c r="T25">
        <f t="shared" si="1"/>
        <v>0</v>
      </c>
      <c r="U25">
        <f t="shared" si="1"/>
        <v>0</v>
      </c>
      <c r="V25">
        <f t="shared" si="1"/>
        <v>0</v>
      </c>
      <c r="W25">
        <f t="shared" si="1"/>
        <v>0</v>
      </c>
      <c r="X25">
        <f t="shared" si="1"/>
        <v>0</v>
      </c>
      <c r="Y25">
        <f t="shared" si="1"/>
        <v>0</v>
      </c>
      <c r="Z25">
        <f t="shared" si="1"/>
        <v>0</v>
      </c>
      <c r="AA25">
        <f t="shared" si="1"/>
        <v>0</v>
      </c>
    </row>
    <row r="26" spans="2:27" x14ac:dyDescent="0.25">
      <c r="B26" s="13" t="s">
        <v>110</v>
      </c>
      <c r="C26" s="14">
        <v>11.75</v>
      </c>
      <c r="D26" s="14">
        <v>7.125</v>
      </c>
      <c r="E26" s="14">
        <v>5.625</v>
      </c>
      <c r="F26" s="14">
        <v>4.25</v>
      </c>
      <c r="G26" s="14">
        <v>2.875</v>
      </c>
      <c r="H26" s="14">
        <v>4.75</v>
      </c>
      <c r="I26" s="14">
        <v>5.375</v>
      </c>
      <c r="J26" s="14">
        <v>8.625</v>
      </c>
      <c r="K26" s="14">
        <v>7.25</v>
      </c>
      <c r="L26" s="14">
        <v>8.125</v>
      </c>
      <c r="M26" s="14">
        <v>10</v>
      </c>
      <c r="N26" s="15">
        <v>2.25</v>
      </c>
      <c r="P26">
        <f t="shared" si="1"/>
        <v>0</v>
      </c>
      <c r="Q26">
        <f t="shared" si="1"/>
        <v>0</v>
      </c>
      <c r="R26">
        <f t="shared" si="1"/>
        <v>0</v>
      </c>
      <c r="S26">
        <f t="shared" si="1"/>
        <v>0</v>
      </c>
      <c r="T26">
        <f t="shared" si="1"/>
        <v>0</v>
      </c>
      <c r="U26">
        <f t="shared" si="1"/>
        <v>0</v>
      </c>
      <c r="V26">
        <f t="shared" si="1"/>
        <v>0</v>
      </c>
      <c r="W26">
        <f t="shared" si="1"/>
        <v>0</v>
      </c>
      <c r="X26">
        <f t="shared" si="1"/>
        <v>0</v>
      </c>
      <c r="Y26">
        <f t="shared" si="1"/>
        <v>0</v>
      </c>
      <c r="Z26">
        <f t="shared" si="1"/>
        <v>0</v>
      </c>
      <c r="AA26">
        <f t="shared" si="1"/>
        <v>1</v>
      </c>
    </row>
    <row r="27" spans="2:27" x14ac:dyDescent="0.25">
      <c r="B27" s="13" t="s">
        <v>112</v>
      </c>
      <c r="C27" s="14">
        <v>11.875</v>
      </c>
      <c r="D27" s="15">
        <v>1.375</v>
      </c>
      <c r="E27" s="14">
        <v>6</v>
      </c>
      <c r="F27" s="14">
        <v>10.25</v>
      </c>
      <c r="G27" s="14">
        <v>8.375</v>
      </c>
      <c r="H27" s="14">
        <v>4.5</v>
      </c>
      <c r="I27" s="14">
        <v>7.875</v>
      </c>
      <c r="J27" s="14">
        <v>9.75</v>
      </c>
      <c r="K27" s="14">
        <v>4.125</v>
      </c>
      <c r="L27" s="14">
        <v>2.375</v>
      </c>
      <c r="M27" s="14">
        <v>7.75</v>
      </c>
      <c r="N27" s="14">
        <v>3.75</v>
      </c>
      <c r="P27">
        <f t="shared" si="1"/>
        <v>0</v>
      </c>
      <c r="Q27">
        <f t="shared" si="1"/>
        <v>1</v>
      </c>
      <c r="R27">
        <f t="shared" si="1"/>
        <v>0</v>
      </c>
      <c r="S27">
        <f t="shared" si="1"/>
        <v>0</v>
      </c>
      <c r="T27">
        <f t="shared" si="1"/>
        <v>0</v>
      </c>
      <c r="U27">
        <f t="shared" si="1"/>
        <v>0</v>
      </c>
      <c r="V27">
        <f t="shared" si="1"/>
        <v>0</v>
      </c>
      <c r="W27">
        <f t="shared" si="1"/>
        <v>0</v>
      </c>
      <c r="X27">
        <f t="shared" si="1"/>
        <v>0</v>
      </c>
      <c r="Y27">
        <f t="shared" si="1"/>
        <v>0</v>
      </c>
      <c r="Z27">
        <f t="shared" si="1"/>
        <v>0</v>
      </c>
      <c r="AA27">
        <f t="shared" si="1"/>
        <v>0</v>
      </c>
    </row>
    <row r="28" spans="2:27" x14ac:dyDescent="0.25">
      <c r="B28" s="13" t="s">
        <v>114</v>
      </c>
      <c r="C28" s="14">
        <v>11.875</v>
      </c>
      <c r="D28" s="14">
        <v>3.875</v>
      </c>
      <c r="E28" s="14">
        <v>4.125</v>
      </c>
      <c r="F28" s="14">
        <v>6.625</v>
      </c>
      <c r="G28" s="14">
        <v>10.125</v>
      </c>
      <c r="H28" s="14">
        <v>4.25</v>
      </c>
      <c r="I28" s="14">
        <v>6.875</v>
      </c>
      <c r="J28" s="14">
        <v>9.625</v>
      </c>
      <c r="K28" s="14">
        <v>5.375</v>
      </c>
      <c r="L28" s="15">
        <v>2.5</v>
      </c>
      <c r="M28" s="14">
        <v>8.5</v>
      </c>
      <c r="N28" s="14">
        <v>4.25</v>
      </c>
      <c r="P28">
        <f t="shared" si="1"/>
        <v>0</v>
      </c>
      <c r="Q28">
        <f t="shared" si="1"/>
        <v>0</v>
      </c>
      <c r="R28">
        <f t="shared" si="1"/>
        <v>0</v>
      </c>
      <c r="S28">
        <f t="shared" si="1"/>
        <v>0</v>
      </c>
      <c r="T28">
        <f t="shared" si="1"/>
        <v>0</v>
      </c>
      <c r="U28">
        <f t="shared" si="1"/>
        <v>0</v>
      </c>
      <c r="V28">
        <f t="shared" si="1"/>
        <v>0</v>
      </c>
      <c r="W28">
        <f t="shared" si="1"/>
        <v>0</v>
      </c>
      <c r="X28">
        <f t="shared" si="1"/>
        <v>0</v>
      </c>
      <c r="Y28">
        <f t="shared" si="1"/>
        <v>1</v>
      </c>
      <c r="Z28">
        <f t="shared" si="1"/>
        <v>0</v>
      </c>
      <c r="AA28">
        <f t="shared" si="1"/>
        <v>0</v>
      </c>
    </row>
    <row r="29" spans="2:27" x14ac:dyDescent="0.25">
      <c r="B29" s="13" t="s">
        <v>116</v>
      </c>
      <c r="C29" s="14">
        <v>11.25</v>
      </c>
      <c r="D29" s="14">
        <v>5.75</v>
      </c>
      <c r="E29" s="14">
        <v>3.5</v>
      </c>
      <c r="F29" s="14">
        <v>6.375</v>
      </c>
      <c r="G29" s="14">
        <v>8.75</v>
      </c>
      <c r="H29" s="14">
        <v>7.75</v>
      </c>
      <c r="I29" s="15">
        <v>3</v>
      </c>
      <c r="J29" s="14">
        <v>6.75</v>
      </c>
      <c r="K29" s="14">
        <v>6.5</v>
      </c>
      <c r="L29" s="14">
        <v>7.25</v>
      </c>
      <c r="M29" s="14">
        <v>7.625</v>
      </c>
      <c r="N29" s="14">
        <v>3.5</v>
      </c>
      <c r="P29">
        <f t="shared" si="1"/>
        <v>0</v>
      </c>
      <c r="Q29">
        <f t="shared" si="1"/>
        <v>0</v>
      </c>
      <c r="R29">
        <f t="shared" si="1"/>
        <v>0</v>
      </c>
      <c r="S29">
        <f t="shared" si="1"/>
        <v>0</v>
      </c>
      <c r="T29">
        <f t="shared" si="1"/>
        <v>0</v>
      </c>
      <c r="U29">
        <f t="shared" si="1"/>
        <v>0</v>
      </c>
      <c r="V29">
        <f t="shared" si="1"/>
        <v>1</v>
      </c>
      <c r="W29">
        <f t="shared" si="1"/>
        <v>0</v>
      </c>
      <c r="X29">
        <f t="shared" si="1"/>
        <v>0</v>
      </c>
      <c r="Y29">
        <f t="shared" si="1"/>
        <v>0</v>
      </c>
      <c r="Z29">
        <f t="shared" si="1"/>
        <v>0</v>
      </c>
      <c r="AA29">
        <f t="shared" si="1"/>
        <v>0</v>
      </c>
    </row>
    <row r="30" spans="2:27" x14ac:dyDescent="0.25">
      <c r="B30" s="13" t="s">
        <v>118</v>
      </c>
      <c r="C30" s="14">
        <v>11.125</v>
      </c>
      <c r="D30" s="14">
        <v>5.0625</v>
      </c>
      <c r="E30" s="14">
        <v>4</v>
      </c>
      <c r="F30" s="14">
        <v>6.125</v>
      </c>
      <c r="G30" s="14">
        <v>11.125</v>
      </c>
      <c r="H30" s="14">
        <v>5</v>
      </c>
      <c r="I30" s="14">
        <v>6.9375</v>
      </c>
      <c r="J30" s="14">
        <v>7.375</v>
      </c>
      <c r="K30" s="14">
        <v>5.25</v>
      </c>
      <c r="L30" s="15">
        <v>1.5</v>
      </c>
      <c r="M30" s="14">
        <v>10</v>
      </c>
      <c r="N30" s="14">
        <v>4.5</v>
      </c>
      <c r="P30">
        <f t="shared" si="1"/>
        <v>0</v>
      </c>
      <c r="Q30">
        <f t="shared" si="1"/>
        <v>0</v>
      </c>
      <c r="R30">
        <f t="shared" si="1"/>
        <v>0</v>
      </c>
      <c r="S30">
        <f t="shared" si="1"/>
        <v>0</v>
      </c>
      <c r="T30">
        <f t="shared" si="1"/>
        <v>0</v>
      </c>
      <c r="U30">
        <f t="shared" si="1"/>
        <v>0</v>
      </c>
      <c r="V30">
        <f t="shared" si="1"/>
        <v>0</v>
      </c>
      <c r="W30">
        <f t="shared" si="1"/>
        <v>0</v>
      </c>
      <c r="X30">
        <f t="shared" si="1"/>
        <v>0</v>
      </c>
      <c r="Y30">
        <f t="shared" si="1"/>
        <v>1</v>
      </c>
      <c r="Z30">
        <f t="shared" si="1"/>
        <v>0</v>
      </c>
      <c r="AA30">
        <f t="shared" si="1"/>
        <v>0</v>
      </c>
    </row>
    <row r="31" spans="2:27" x14ac:dyDescent="0.25">
      <c r="B31" s="13" t="s">
        <v>120</v>
      </c>
      <c r="C31" s="14">
        <v>7.9375</v>
      </c>
      <c r="D31" s="14">
        <v>5.75</v>
      </c>
      <c r="E31" s="14">
        <v>7.375</v>
      </c>
      <c r="F31" s="14">
        <v>4.875</v>
      </c>
      <c r="G31" s="14">
        <v>6.125</v>
      </c>
      <c r="H31" s="14">
        <v>3.9375</v>
      </c>
      <c r="I31" s="14">
        <v>5.5625</v>
      </c>
      <c r="J31" s="14">
        <v>8.8125</v>
      </c>
      <c r="K31" s="14">
        <v>8.0625</v>
      </c>
      <c r="L31" s="14">
        <v>9.4375</v>
      </c>
      <c r="M31" s="14">
        <v>6.875</v>
      </c>
      <c r="N31" s="15">
        <v>3.25</v>
      </c>
      <c r="P31">
        <f t="shared" si="1"/>
        <v>0</v>
      </c>
      <c r="Q31">
        <f t="shared" si="1"/>
        <v>0</v>
      </c>
      <c r="R31">
        <f t="shared" si="1"/>
        <v>0</v>
      </c>
      <c r="S31">
        <f t="shared" si="1"/>
        <v>0</v>
      </c>
      <c r="T31">
        <f t="shared" si="1"/>
        <v>0</v>
      </c>
      <c r="U31">
        <f t="shared" si="1"/>
        <v>0</v>
      </c>
      <c r="V31">
        <f t="shared" si="1"/>
        <v>0</v>
      </c>
      <c r="W31">
        <f t="shared" si="1"/>
        <v>0</v>
      </c>
      <c r="X31">
        <f t="shared" si="1"/>
        <v>0</v>
      </c>
      <c r="Y31">
        <f t="shared" si="1"/>
        <v>0</v>
      </c>
      <c r="Z31">
        <f t="shared" si="1"/>
        <v>0</v>
      </c>
      <c r="AA31">
        <f t="shared" si="1"/>
        <v>1</v>
      </c>
    </row>
    <row r="32" spans="2:27" x14ac:dyDescent="0.25">
      <c r="B32" s="13" t="s">
        <v>122</v>
      </c>
      <c r="C32" s="14">
        <v>6.25</v>
      </c>
      <c r="D32" s="14">
        <v>6.9375</v>
      </c>
      <c r="E32" s="14">
        <v>7.125</v>
      </c>
      <c r="F32" s="14">
        <v>5.25</v>
      </c>
      <c r="G32" s="15">
        <v>4.8125</v>
      </c>
      <c r="H32" s="14">
        <v>9.1875</v>
      </c>
      <c r="I32" s="14">
        <v>5.9375</v>
      </c>
      <c r="J32" s="14">
        <v>6.25</v>
      </c>
      <c r="K32" s="14">
        <v>6.5</v>
      </c>
      <c r="L32" s="14">
        <v>6.25</v>
      </c>
      <c r="M32" s="14">
        <v>8</v>
      </c>
      <c r="N32" s="14">
        <v>5.5</v>
      </c>
      <c r="P32">
        <f t="shared" si="1"/>
        <v>0</v>
      </c>
      <c r="Q32">
        <f t="shared" si="1"/>
        <v>0</v>
      </c>
      <c r="R32">
        <f t="shared" si="1"/>
        <v>0</v>
      </c>
      <c r="S32">
        <f t="shared" si="1"/>
        <v>0</v>
      </c>
      <c r="T32">
        <f t="shared" si="1"/>
        <v>1</v>
      </c>
      <c r="U32">
        <f t="shared" si="1"/>
        <v>0</v>
      </c>
      <c r="V32">
        <f t="shared" si="1"/>
        <v>0</v>
      </c>
      <c r="W32">
        <f t="shared" si="1"/>
        <v>0</v>
      </c>
      <c r="X32">
        <f t="shared" si="1"/>
        <v>0</v>
      </c>
      <c r="Y32">
        <f t="shared" si="1"/>
        <v>0</v>
      </c>
      <c r="Z32">
        <f t="shared" si="1"/>
        <v>0</v>
      </c>
      <c r="AA32">
        <f t="shared" si="1"/>
        <v>0</v>
      </c>
    </row>
    <row r="33" spans="2:27" x14ac:dyDescent="0.25">
      <c r="B33" s="13" t="s">
        <v>124</v>
      </c>
      <c r="C33" s="14">
        <v>9.875</v>
      </c>
      <c r="D33" s="14">
        <v>3.75</v>
      </c>
      <c r="E33" s="14">
        <v>2.75</v>
      </c>
      <c r="F33" s="14">
        <v>7.3125</v>
      </c>
      <c r="G33" s="14">
        <v>8.3125</v>
      </c>
      <c r="H33" s="15">
        <v>2.375</v>
      </c>
      <c r="I33" s="14">
        <v>7</v>
      </c>
      <c r="J33" s="14">
        <v>8.125</v>
      </c>
      <c r="K33" s="14">
        <v>8.25</v>
      </c>
      <c r="L33" s="14">
        <v>5</v>
      </c>
      <c r="M33" s="14">
        <v>10.125</v>
      </c>
      <c r="N33" s="14">
        <v>5.125</v>
      </c>
      <c r="P33">
        <f t="shared" si="1"/>
        <v>0</v>
      </c>
      <c r="Q33">
        <f t="shared" si="1"/>
        <v>0</v>
      </c>
      <c r="R33">
        <f t="shared" si="1"/>
        <v>0</v>
      </c>
      <c r="S33">
        <f t="shared" si="1"/>
        <v>0</v>
      </c>
      <c r="T33">
        <f t="shared" si="1"/>
        <v>0</v>
      </c>
      <c r="U33">
        <f t="shared" si="1"/>
        <v>1</v>
      </c>
      <c r="V33">
        <f t="shared" si="1"/>
        <v>0</v>
      </c>
      <c r="W33">
        <f t="shared" si="1"/>
        <v>0</v>
      </c>
      <c r="X33">
        <f t="shared" si="1"/>
        <v>0</v>
      </c>
      <c r="Y33">
        <f t="shared" si="1"/>
        <v>0</v>
      </c>
      <c r="Z33">
        <f t="shared" si="1"/>
        <v>0</v>
      </c>
      <c r="AA33">
        <f t="shared" si="1"/>
        <v>0</v>
      </c>
    </row>
    <row r="34" spans="2:27" x14ac:dyDescent="0.25">
      <c r="B34" s="13" t="s">
        <v>126</v>
      </c>
      <c r="C34" s="14">
        <v>11</v>
      </c>
      <c r="D34" s="14">
        <v>5</v>
      </c>
      <c r="E34" s="14">
        <v>2.875</v>
      </c>
      <c r="F34" s="14">
        <v>8.5</v>
      </c>
      <c r="G34" s="14">
        <v>9.75</v>
      </c>
      <c r="H34" s="14">
        <v>6.875</v>
      </c>
      <c r="I34" s="14">
        <v>5.625</v>
      </c>
      <c r="J34" s="14">
        <v>9.375</v>
      </c>
      <c r="K34" s="14">
        <v>6.5</v>
      </c>
      <c r="L34" s="15">
        <v>1.625</v>
      </c>
      <c r="M34" s="14">
        <v>8.75</v>
      </c>
      <c r="N34" s="14">
        <v>2.125</v>
      </c>
      <c r="P34">
        <f t="shared" si="1"/>
        <v>0</v>
      </c>
      <c r="Q34">
        <f t="shared" si="1"/>
        <v>0</v>
      </c>
      <c r="R34">
        <f t="shared" si="1"/>
        <v>0</v>
      </c>
      <c r="S34">
        <f t="shared" si="1"/>
        <v>0</v>
      </c>
      <c r="T34">
        <f t="shared" si="1"/>
        <v>0</v>
      </c>
      <c r="U34">
        <f t="shared" si="1"/>
        <v>0</v>
      </c>
      <c r="V34">
        <f t="shared" si="1"/>
        <v>0</v>
      </c>
      <c r="W34">
        <f t="shared" si="1"/>
        <v>0</v>
      </c>
      <c r="X34">
        <f t="shared" si="1"/>
        <v>0</v>
      </c>
      <c r="Y34">
        <f t="shared" si="1"/>
        <v>1</v>
      </c>
      <c r="Z34">
        <f t="shared" si="1"/>
        <v>0</v>
      </c>
      <c r="AA34">
        <f t="shared" si="1"/>
        <v>0</v>
      </c>
    </row>
    <row r="35" spans="2:27" x14ac:dyDescent="0.25">
      <c r="B35" s="13" t="s">
        <v>128</v>
      </c>
      <c r="C35" s="14">
        <v>9.625</v>
      </c>
      <c r="D35" s="14">
        <v>7.8125</v>
      </c>
      <c r="E35" s="14">
        <v>6.3125</v>
      </c>
      <c r="F35" s="14">
        <v>6</v>
      </c>
      <c r="G35" s="14">
        <v>6.8125</v>
      </c>
      <c r="H35" s="14">
        <v>4.375</v>
      </c>
      <c r="I35" s="14">
        <v>5.25</v>
      </c>
      <c r="J35" s="14">
        <v>8.75</v>
      </c>
      <c r="K35" s="14">
        <v>6.9375</v>
      </c>
      <c r="L35" s="15">
        <v>4</v>
      </c>
      <c r="M35" s="14">
        <v>7.75</v>
      </c>
      <c r="N35" s="14">
        <v>4.375</v>
      </c>
      <c r="P35">
        <f t="shared" si="1"/>
        <v>0</v>
      </c>
      <c r="Q35">
        <f t="shared" si="1"/>
        <v>0</v>
      </c>
      <c r="R35">
        <f t="shared" si="1"/>
        <v>0</v>
      </c>
      <c r="S35">
        <f t="shared" si="1"/>
        <v>0</v>
      </c>
      <c r="T35">
        <f t="shared" si="1"/>
        <v>0</v>
      </c>
      <c r="U35">
        <f t="shared" si="1"/>
        <v>0</v>
      </c>
      <c r="V35">
        <f t="shared" si="1"/>
        <v>0</v>
      </c>
      <c r="W35">
        <f t="shared" si="1"/>
        <v>0</v>
      </c>
      <c r="X35">
        <f t="shared" si="1"/>
        <v>0</v>
      </c>
      <c r="Y35">
        <f t="shared" si="1"/>
        <v>1</v>
      </c>
      <c r="Z35">
        <f t="shared" si="1"/>
        <v>0</v>
      </c>
      <c r="AA35">
        <f t="shared" si="1"/>
        <v>0</v>
      </c>
    </row>
    <row r="36" spans="2:27" x14ac:dyDescent="0.25">
      <c r="B36" s="13" t="s">
        <v>130</v>
      </c>
      <c r="C36" s="14">
        <v>8.125</v>
      </c>
      <c r="D36" s="14">
        <v>8.0625</v>
      </c>
      <c r="E36" s="14">
        <v>7.9375</v>
      </c>
      <c r="F36" s="14">
        <v>7.5</v>
      </c>
      <c r="G36" s="14">
        <v>4.875</v>
      </c>
      <c r="H36" s="14">
        <v>5.25</v>
      </c>
      <c r="I36" s="14">
        <v>8.5625</v>
      </c>
      <c r="J36" s="14">
        <v>7.625</v>
      </c>
      <c r="K36" s="14">
        <v>4.25</v>
      </c>
      <c r="L36" s="14">
        <v>4.6875</v>
      </c>
      <c r="M36" s="14">
        <v>7.125</v>
      </c>
      <c r="N36" s="15">
        <v>4</v>
      </c>
      <c r="P36">
        <f t="shared" si="1"/>
        <v>0</v>
      </c>
      <c r="Q36">
        <f t="shared" si="1"/>
        <v>0</v>
      </c>
      <c r="R36">
        <f t="shared" si="1"/>
        <v>0</v>
      </c>
      <c r="S36">
        <f t="shared" si="1"/>
        <v>0</v>
      </c>
      <c r="T36">
        <f t="shared" si="1"/>
        <v>0</v>
      </c>
      <c r="U36">
        <f t="shared" si="1"/>
        <v>0</v>
      </c>
      <c r="V36">
        <f t="shared" si="1"/>
        <v>0</v>
      </c>
      <c r="W36">
        <f t="shared" si="1"/>
        <v>0</v>
      </c>
      <c r="X36">
        <f t="shared" si="1"/>
        <v>0</v>
      </c>
      <c r="Y36">
        <f t="shared" si="1"/>
        <v>0</v>
      </c>
      <c r="Z36">
        <f t="shared" si="1"/>
        <v>0</v>
      </c>
      <c r="AA36">
        <f t="shared" si="1"/>
        <v>1</v>
      </c>
    </row>
    <row r="37" spans="2:27" x14ac:dyDescent="0.25">
      <c r="B37" s="13" t="s">
        <v>132</v>
      </c>
      <c r="C37" s="14">
        <v>8.625</v>
      </c>
      <c r="D37" s="14">
        <v>4.75</v>
      </c>
      <c r="E37" s="14">
        <v>7.5</v>
      </c>
      <c r="F37" s="14">
        <v>7</v>
      </c>
      <c r="G37" s="14">
        <v>8.25</v>
      </c>
      <c r="H37" s="15">
        <v>3.75</v>
      </c>
      <c r="I37" s="14">
        <v>7</v>
      </c>
      <c r="J37" s="14">
        <v>8.125</v>
      </c>
      <c r="K37" s="14">
        <v>5.625</v>
      </c>
      <c r="L37" s="14">
        <v>6.5</v>
      </c>
      <c r="M37" s="14">
        <v>5.875</v>
      </c>
      <c r="N37" s="14">
        <v>5</v>
      </c>
      <c r="P37">
        <f t="shared" si="1"/>
        <v>0</v>
      </c>
      <c r="Q37">
        <f t="shared" si="1"/>
        <v>0</v>
      </c>
      <c r="R37">
        <f t="shared" si="1"/>
        <v>0</v>
      </c>
      <c r="S37">
        <f t="shared" si="1"/>
        <v>0</v>
      </c>
      <c r="T37">
        <f t="shared" si="1"/>
        <v>0</v>
      </c>
      <c r="U37">
        <f t="shared" si="1"/>
        <v>1</v>
      </c>
      <c r="V37">
        <f t="shared" si="1"/>
        <v>0</v>
      </c>
      <c r="W37">
        <f t="shared" si="1"/>
        <v>0</v>
      </c>
      <c r="X37">
        <f t="shared" si="1"/>
        <v>0</v>
      </c>
      <c r="Y37">
        <f t="shared" si="1"/>
        <v>0</v>
      </c>
      <c r="Z37">
        <f t="shared" si="1"/>
        <v>0</v>
      </c>
      <c r="AA37">
        <f t="shared" si="1"/>
        <v>0</v>
      </c>
    </row>
    <row r="38" spans="2:27" x14ac:dyDescent="0.25">
      <c r="B38" s="13" t="s">
        <v>134</v>
      </c>
      <c r="C38" s="14">
        <v>11.375</v>
      </c>
      <c r="D38" s="14">
        <v>7.5</v>
      </c>
      <c r="E38" s="14">
        <v>5</v>
      </c>
      <c r="F38" s="14">
        <v>7.25</v>
      </c>
      <c r="G38" s="14">
        <v>5.3125</v>
      </c>
      <c r="H38" s="14">
        <v>5.375</v>
      </c>
      <c r="I38" s="15">
        <v>2.875</v>
      </c>
      <c r="J38" s="14">
        <v>11.375</v>
      </c>
      <c r="K38" s="14">
        <v>6.375</v>
      </c>
      <c r="L38" s="14">
        <v>3.125</v>
      </c>
      <c r="M38" s="14">
        <v>8.8125</v>
      </c>
      <c r="N38" s="14">
        <v>3.625</v>
      </c>
      <c r="P38">
        <f t="shared" si="1"/>
        <v>0</v>
      </c>
      <c r="Q38">
        <f t="shared" si="1"/>
        <v>0</v>
      </c>
      <c r="R38">
        <f t="shared" si="1"/>
        <v>0</v>
      </c>
      <c r="S38">
        <f t="shared" si="1"/>
        <v>0</v>
      </c>
      <c r="T38">
        <f t="shared" si="1"/>
        <v>0</v>
      </c>
      <c r="U38">
        <f t="shared" si="1"/>
        <v>0</v>
      </c>
      <c r="V38">
        <f t="shared" si="1"/>
        <v>1</v>
      </c>
      <c r="W38">
        <f t="shared" si="1"/>
        <v>0</v>
      </c>
      <c r="X38">
        <f t="shared" si="1"/>
        <v>0</v>
      </c>
      <c r="Y38">
        <f t="shared" si="1"/>
        <v>0</v>
      </c>
      <c r="Z38">
        <f t="shared" si="1"/>
        <v>0</v>
      </c>
      <c r="AA38">
        <f t="shared" si="1"/>
        <v>0</v>
      </c>
    </row>
    <row r="39" spans="2:27" x14ac:dyDescent="0.25">
      <c r="B39" s="13" t="s">
        <v>136</v>
      </c>
      <c r="C39" s="14">
        <v>10.125</v>
      </c>
      <c r="D39" s="14">
        <v>7.8125</v>
      </c>
      <c r="E39" s="14">
        <v>6.125</v>
      </c>
      <c r="F39" s="15">
        <v>2.9375</v>
      </c>
      <c r="G39" s="14">
        <v>5.8125</v>
      </c>
      <c r="H39" s="14">
        <v>4.5625</v>
      </c>
      <c r="I39" s="14">
        <v>6.3125</v>
      </c>
      <c r="J39" s="14">
        <v>7.9375</v>
      </c>
      <c r="K39" s="14">
        <v>5.9375</v>
      </c>
      <c r="L39" s="14">
        <v>7.8125</v>
      </c>
      <c r="M39" s="14">
        <v>7.8125</v>
      </c>
      <c r="N39" s="14">
        <v>4.8125</v>
      </c>
      <c r="P39">
        <f t="shared" ref="P39:AA54" si="2">IF(C39=MIN($C39:$N39),1,0)</f>
        <v>0</v>
      </c>
      <c r="Q39">
        <f t="shared" si="2"/>
        <v>0</v>
      </c>
      <c r="R39">
        <f t="shared" si="2"/>
        <v>0</v>
      </c>
      <c r="S39">
        <f t="shared" si="2"/>
        <v>1</v>
      </c>
      <c r="T39">
        <f t="shared" si="2"/>
        <v>0</v>
      </c>
      <c r="U39">
        <f t="shared" si="2"/>
        <v>0</v>
      </c>
      <c r="V39">
        <f t="shared" si="2"/>
        <v>0</v>
      </c>
      <c r="W39">
        <f t="shared" si="2"/>
        <v>0</v>
      </c>
      <c r="X39">
        <f t="shared" si="2"/>
        <v>0</v>
      </c>
      <c r="Y39">
        <f t="shared" si="2"/>
        <v>0</v>
      </c>
      <c r="Z39">
        <f t="shared" si="2"/>
        <v>0</v>
      </c>
      <c r="AA39">
        <f t="shared" si="2"/>
        <v>0</v>
      </c>
    </row>
    <row r="40" spans="2:27" x14ac:dyDescent="0.25">
      <c r="B40" s="13" t="s">
        <v>138</v>
      </c>
      <c r="C40" s="14">
        <v>10.0625</v>
      </c>
      <c r="D40" s="14">
        <v>4.625</v>
      </c>
      <c r="E40" s="14">
        <v>7.125</v>
      </c>
      <c r="F40" s="14">
        <v>5.8125</v>
      </c>
      <c r="G40" s="14">
        <v>3.625</v>
      </c>
      <c r="H40" s="14">
        <v>6.25</v>
      </c>
      <c r="I40" s="14">
        <v>6.5</v>
      </c>
      <c r="J40" s="14">
        <v>9.25</v>
      </c>
      <c r="K40" s="14">
        <v>8.375</v>
      </c>
      <c r="L40" s="14">
        <v>6.9375</v>
      </c>
      <c r="M40" s="14">
        <v>7.4375</v>
      </c>
      <c r="N40" s="15">
        <v>2</v>
      </c>
      <c r="P40">
        <f t="shared" si="2"/>
        <v>0</v>
      </c>
      <c r="Q40">
        <f t="shared" si="2"/>
        <v>0</v>
      </c>
      <c r="R40">
        <f t="shared" si="2"/>
        <v>0</v>
      </c>
      <c r="S40">
        <f t="shared" si="2"/>
        <v>0</v>
      </c>
      <c r="T40">
        <f t="shared" si="2"/>
        <v>0</v>
      </c>
      <c r="U40">
        <f t="shared" si="2"/>
        <v>0</v>
      </c>
      <c r="V40">
        <f t="shared" si="2"/>
        <v>0</v>
      </c>
      <c r="W40">
        <f t="shared" si="2"/>
        <v>0</v>
      </c>
      <c r="X40">
        <f t="shared" si="2"/>
        <v>0</v>
      </c>
      <c r="Y40">
        <f t="shared" si="2"/>
        <v>0</v>
      </c>
      <c r="Z40">
        <f t="shared" si="2"/>
        <v>0</v>
      </c>
      <c r="AA40">
        <f t="shared" si="2"/>
        <v>1</v>
      </c>
    </row>
    <row r="41" spans="2:27" x14ac:dyDescent="0.25">
      <c r="B41" s="13" t="s">
        <v>140</v>
      </c>
      <c r="C41" s="14">
        <v>10.0625</v>
      </c>
      <c r="D41" s="14">
        <v>2.3125</v>
      </c>
      <c r="E41" s="14">
        <v>7.25</v>
      </c>
      <c r="F41" s="14">
        <v>7.3125</v>
      </c>
      <c r="G41" s="14">
        <v>6.625</v>
      </c>
      <c r="H41" s="14">
        <v>6.625</v>
      </c>
      <c r="I41" s="14">
        <v>3.6875</v>
      </c>
      <c r="J41" s="14">
        <v>7.4375</v>
      </c>
      <c r="K41" s="14">
        <v>9</v>
      </c>
      <c r="L41" s="14">
        <v>9.8125</v>
      </c>
      <c r="M41" s="14">
        <v>6.875</v>
      </c>
      <c r="N41" s="15">
        <v>1</v>
      </c>
      <c r="P41">
        <f t="shared" si="2"/>
        <v>0</v>
      </c>
      <c r="Q41">
        <f t="shared" si="2"/>
        <v>0</v>
      </c>
      <c r="R41">
        <f t="shared" si="2"/>
        <v>0</v>
      </c>
      <c r="S41">
        <f t="shared" si="2"/>
        <v>0</v>
      </c>
      <c r="T41">
        <f t="shared" si="2"/>
        <v>0</v>
      </c>
      <c r="U41">
        <f t="shared" si="2"/>
        <v>0</v>
      </c>
      <c r="V41">
        <f t="shared" si="2"/>
        <v>0</v>
      </c>
      <c r="W41">
        <f t="shared" si="2"/>
        <v>0</v>
      </c>
      <c r="X41">
        <f t="shared" si="2"/>
        <v>0</v>
      </c>
      <c r="Y41">
        <f t="shared" si="2"/>
        <v>0</v>
      </c>
      <c r="Z41">
        <f t="shared" si="2"/>
        <v>0</v>
      </c>
      <c r="AA41">
        <f t="shared" si="2"/>
        <v>1</v>
      </c>
    </row>
    <row r="42" spans="2:27" x14ac:dyDescent="0.25">
      <c r="B42" s="13" t="s">
        <v>142</v>
      </c>
      <c r="C42" s="14">
        <v>10.625</v>
      </c>
      <c r="D42" s="14">
        <v>4</v>
      </c>
      <c r="E42" s="14">
        <v>4.375</v>
      </c>
      <c r="F42" s="14">
        <v>8.75</v>
      </c>
      <c r="G42" s="14">
        <v>9</v>
      </c>
      <c r="H42" s="15">
        <v>2.25</v>
      </c>
      <c r="I42" s="14">
        <v>4.5</v>
      </c>
      <c r="J42" s="14">
        <v>9.875</v>
      </c>
      <c r="K42" s="14">
        <v>6.75</v>
      </c>
      <c r="L42" s="14">
        <v>5.875</v>
      </c>
      <c r="M42" s="14">
        <v>9.375</v>
      </c>
      <c r="N42" s="14">
        <v>2.625</v>
      </c>
      <c r="P42">
        <f t="shared" si="2"/>
        <v>0</v>
      </c>
      <c r="Q42">
        <f t="shared" si="2"/>
        <v>0</v>
      </c>
      <c r="R42">
        <f t="shared" si="2"/>
        <v>0</v>
      </c>
      <c r="S42">
        <f t="shared" si="2"/>
        <v>0</v>
      </c>
      <c r="T42">
        <f t="shared" si="2"/>
        <v>0</v>
      </c>
      <c r="U42">
        <f t="shared" si="2"/>
        <v>1</v>
      </c>
      <c r="V42">
        <f t="shared" si="2"/>
        <v>0</v>
      </c>
      <c r="W42">
        <f t="shared" si="2"/>
        <v>0</v>
      </c>
      <c r="X42">
        <f t="shared" si="2"/>
        <v>0</v>
      </c>
      <c r="Y42">
        <f t="shared" si="2"/>
        <v>0</v>
      </c>
      <c r="Z42">
        <f t="shared" si="2"/>
        <v>0</v>
      </c>
      <c r="AA42">
        <f t="shared" si="2"/>
        <v>0</v>
      </c>
    </row>
    <row r="43" spans="2:27" x14ac:dyDescent="0.25">
      <c r="B43" s="13" t="s">
        <v>144</v>
      </c>
      <c r="C43" s="14">
        <v>11.5</v>
      </c>
      <c r="D43" s="14">
        <v>8.625</v>
      </c>
      <c r="E43" s="15">
        <v>3.75</v>
      </c>
      <c r="F43" s="14">
        <v>5.625</v>
      </c>
      <c r="G43" s="14">
        <v>8</v>
      </c>
      <c r="H43" s="14">
        <v>4.25</v>
      </c>
      <c r="I43" s="14">
        <v>5.875</v>
      </c>
      <c r="J43" s="14">
        <v>8.375</v>
      </c>
      <c r="K43" s="14">
        <v>4.125</v>
      </c>
      <c r="L43" s="14">
        <v>4.875</v>
      </c>
      <c r="M43" s="14">
        <v>9.25</v>
      </c>
      <c r="N43" s="15">
        <v>3.75</v>
      </c>
      <c r="P43">
        <f t="shared" si="2"/>
        <v>0</v>
      </c>
      <c r="Q43">
        <f t="shared" si="2"/>
        <v>0</v>
      </c>
      <c r="R43">
        <f t="shared" si="2"/>
        <v>1</v>
      </c>
      <c r="S43">
        <f t="shared" si="2"/>
        <v>0</v>
      </c>
      <c r="T43">
        <f t="shared" si="2"/>
        <v>0</v>
      </c>
      <c r="U43">
        <f t="shared" si="2"/>
        <v>0</v>
      </c>
      <c r="V43">
        <f t="shared" si="2"/>
        <v>0</v>
      </c>
      <c r="W43">
        <f t="shared" si="2"/>
        <v>0</v>
      </c>
      <c r="X43">
        <f t="shared" si="2"/>
        <v>0</v>
      </c>
      <c r="Y43">
        <f t="shared" si="2"/>
        <v>0</v>
      </c>
      <c r="Z43">
        <f t="shared" si="2"/>
        <v>0</v>
      </c>
      <c r="AA43">
        <f t="shared" si="2"/>
        <v>1</v>
      </c>
    </row>
    <row r="44" spans="2:27" x14ac:dyDescent="0.25">
      <c r="B44" s="13" t="s">
        <v>146</v>
      </c>
      <c r="C44" s="14">
        <v>11.4375</v>
      </c>
      <c r="D44" s="14">
        <v>6.25</v>
      </c>
      <c r="E44" s="14">
        <v>4.8125</v>
      </c>
      <c r="F44" s="14">
        <v>4.875</v>
      </c>
      <c r="G44" s="14">
        <v>4.625</v>
      </c>
      <c r="H44" s="14">
        <v>5.625</v>
      </c>
      <c r="I44" s="14">
        <v>4.125</v>
      </c>
      <c r="J44" s="14">
        <v>11.3125</v>
      </c>
      <c r="K44" s="14">
        <v>6.5625</v>
      </c>
      <c r="L44" s="14">
        <v>5.75</v>
      </c>
      <c r="M44" s="14">
        <v>8.75</v>
      </c>
      <c r="N44" s="15">
        <v>3.875</v>
      </c>
      <c r="P44">
        <f t="shared" si="2"/>
        <v>0</v>
      </c>
      <c r="Q44">
        <f t="shared" si="2"/>
        <v>0</v>
      </c>
      <c r="R44">
        <f t="shared" si="2"/>
        <v>0</v>
      </c>
      <c r="S44">
        <f t="shared" si="2"/>
        <v>0</v>
      </c>
      <c r="T44">
        <f t="shared" si="2"/>
        <v>0</v>
      </c>
      <c r="U44">
        <f t="shared" si="2"/>
        <v>0</v>
      </c>
      <c r="V44">
        <f t="shared" si="2"/>
        <v>0</v>
      </c>
      <c r="W44">
        <f t="shared" si="2"/>
        <v>0</v>
      </c>
      <c r="X44">
        <f t="shared" si="2"/>
        <v>0</v>
      </c>
      <c r="Y44">
        <f t="shared" si="2"/>
        <v>0</v>
      </c>
      <c r="Z44">
        <f t="shared" si="2"/>
        <v>0</v>
      </c>
      <c r="AA44">
        <f t="shared" si="2"/>
        <v>1</v>
      </c>
    </row>
    <row r="45" spans="2:27" x14ac:dyDescent="0.25">
      <c r="B45" s="13" t="s">
        <v>148</v>
      </c>
      <c r="C45" s="14">
        <v>11.25</v>
      </c>
      <c r="D45" s="14">
        <v>6.875</v>
      </c>
      <c r="E45" s="14">
        <v>6.875</v>
      </c>
      <c r="F45" s="14">
        <v>4.5</v>
      </c>
      <c r="G45" s="14">
        <v>9.375</v>
      </c>
      <c r="H45" s="14">
        <v>3.625</v>
      </c>
      <c r="I45" s="14">
        <v>7.875</v>
      </c>
      <c r="J45" s="14">
        <v>7.75</v>
      </c>
      <c r="K45" s="14">
        <v>6</v>
      </c>
      <c r="L45" s="14">
        <v>3</v>
      </c>
      <c r="M45" s="14">
        <v>9.625</v>
      </c>
      <c r="N45" s="15">
        <v>1.25</v>
      </c>
      <c r="P45">
        <f t="shared" si="2"/>
        <v>0</v>
      </c>
      <c r="Q45">
        <f t="shared" si="2"/>
        <v>0</v>
      </c>
      <c r="R45">
        <f t="shared" si="2"/>
        <v>0</v>
      </c>
      <c r="S45">
        <f t="shared" si="2"/>
        <v>0</v>
      </c>
      <c r="T45">
        <f t="shared" si="2"/>
        <v>0</v>
      </c>
      <c r="U45">
        <f t="shared" si="2"/>
        <v>0</v>
      </c>
      <c r="V45">
        <f t="shared" si="2"/>
        <v>0</v>
      </c>
      <c r="W45">
        <f t="shared" si="2"/>
        <v>0</v>
      </c>
      <c r="X45">
        <f t="shared" si="2"/>
        <v>0</v>
      </c>
      <c r="Y45">
        <f t="shared" si="2"/>
        <v>0</v>
      </c>
      <c r="Z45">
        <f t="shared" si="2"/>
        <v>0</v>
      </c>
      <c r="AA45">
        <f t="shared" si="2"/>
        <v>1</v>
      </c>
    </row>
    <row r="46" spans="2:27" x14ac:dyDescent="0.25">
      <c r="B46" s="13" t="s">
        <v>150</v>
      </c>
      <c r="C46" s="14">
        <v>6.9375</v>
      </c>
      <c r="D46" s="14">
        <v>9.875</v>
      </c>
      <c r="E46" s="14">
        <v>6.125</v>
      </c>
      <c r="F46" s="14">
        <v>6.4375</v>
      </c>
      <c r="G46" s="14">
        <v>7.8125</v>
      </c>
      <c r="H46" s="14">
        <v>4.0625</v>
      </c>
      <c r="I46" s="15">
        <v>2.5</v>
      </c>
      <c r="J46" s="14">
        <v>7</v>
      </c>
      <c r="K46" s="14">
        <v>6.9375</v>
      </c>
      <c r="L46" s="14">
        <v>7.75</v>
      </c>
      <c r="M46" s="14">
        <v>6.3125</v>
      </c>
      <c r="N46" s="14">
        <v>6.25</v>
      </c>
      <c r="P46">
        <f t="shared" si="2"/>
        <v>0</v>
      </c>
      <c r="Q46">
        <f t="shared" si="2"/>
        <v>0</v>
      </c>
      <c r="R46">
        <f t="shared" si="2"/>
        <v>0</v>
      </c>
      <c r="S46">
        <f t="shared" si="2"/>
        <v>0</v>
      </c>
      <c r="T46">
        <f t="shared" si="2"/>
        <v>0</v>
      </c>
      <c r="U46">
        <f t="shared" si="2"/>
        <v>0</v>
      </c>
      <c r="V46">
        <f t="shared" si="2"/>
        <v>1</v>
      </c>
      <c r="W46">
        <f t="shared" si="2"/>
        <v>0</v>
      </c>
      <c r="X46">
        <f t="shared" si="2"/>
        <v>0</v>
      </c>
      <c r="Y46">
        <f t="shared" si="2"/>
        <v>0</v>
      </c>
      <c r="Z46">
        <f t="shared" si="2"/>
        <v>0</v>
      </c>
      <c r="AA46">
        <f t="shared" si="2"/>
        <v>0</v>
      </c>
    </row>
    <row r="47" spans="2:27" x14ac:dyDescent="0.25">
      <c r="B47" s="13" t="s">
        <v>152</v>
      </c>
      <c r="C47" s="14">
        <v>9.8125</v>
      </c>
      <c r="D47" s="15">
        <v>2.875</v>
      </c>
      <c r="E47" s="14">
        <v>5.875</v>
      </c>
      <c r="F47" s="14">
        <v>5.5625</v>
      </c>
      <c r="G47" s="14">
        <v>5.6875</v>
      </c>
      <c r="H47" s="14">
        <v>4.375</v>
      </c>
      <c r="I47" s="14">
        <v>7.625</v>
      </c>
      <c r="J47" s="14">
        <v>9.8125</v>
      </c>
      <c r="K47" s="14">
        <v>9.0625</v>
      </c>
      <c r="L47" s="14">
        <v>3.75</v>
      </c>
      <c r="M47" s="14">
        <v>8.1875</v>
      </c>
      <c r="N47" s="14">
        <v>5.375</v>
      </c>
      <c r="P47">
        <f t="shared" si="2"/>
        <v>0</v>
      </c>
      <c r="Q47">
        <f t="shared" si="2"/>
        <v>1</v>
      </c>
      <c r="R47">
        <f t="shared" si="2"/>
        <v>0</v>
      </c>
      <c r="S47">
        <f t="shared" si="2"/>
        <v>0</v>
      </c>
      <c r="T47">
        <f t="shared" si="2"/>
        <v>0</v>
      </c>
      <c r="U47">
        <f t="shared" si="2"/>
        <v>0</v>
      </c>
      <c r="V47">
        <f t="shared" si="2"/>
        <v>0</v>
      </c>
      <c r="W47">
        <f t="shared" si="2"/>
        <v>0</v>
      </c>
      <c r="X47">
        <f t="shared" si="2"/>
        <v>0</v>
      </c>
      <c r="Y47">
        <f t="shared" si="2"/>
        <v>0</v>
      </c>
      <c r="Z47">
        <f t="shared" si="2"/>
        <v>0</v>
      </c>
      <c r="AA47">
        <f t="shared" si="2"/>
        <v>0</v>
      </c>
    </row>
    <row r="48" spans="2:27" x14ac:dyDescent="0.25">
      <c r="B48" s="13" t="s">
        <v>154</v>
      </c>
      <c r="C48" s="14">
        <v>7.9375</v>
      </c>
      <c r="D48" s="14">
        <v>5.875</v>
      </c>
      <c r="E48" s="14">
        <v>5.75</v>
      </c>
      <c r="F48" s="14">
        <v>5.75</v>
      </c>
      <c r="G48" s="15">
        <v>4.1875</v>
      </c>
      <c r="H48" s="14">
        <v>6.5</v>
      </c>
      <c r="I48" s="14">
        <v>5.125</v>
      </c>
      <c r="J48" s="14">
        <v>7.75</v>
      </c>
      <c r="K48" s="14">
        <v>5.625</v>
      </c>
      <c r="L48" s="14">
        <v>7.625</v>
      </c>
      <c r="M48" s="14">
        <v>9.6875</v>
      </c>
      <c r="N48" s="14">
        <v>6.1875</v>
      </c>
      <c r="P48">
        <f t="shared" si="2"/>
        <v>0</v>
      </c>
      <c r="Q48">
        <f t="shared" si="2"/>
        <v>0</v>
      </c>
      <c r="R48">
        <f t="shared" si="2"/>
        <v>0</v>
      </c>
      <c r="S48">
        <f t="shared" si="2"/>
        <v>0</v>
      </c>
      <c r="T48">
        <f t="shared" si="2"/>
        <v>1</v>
      </c>
      <c r="U48">
        <f t="shared" si="2"/>
        <v>0</v>
      </c>
      <c r="V48">
        <f t="shared" si="2"/>
        <v>0</v>
      </c>
      <c r="W48">
        <f t="shared" si="2"/>
        <v>0</v>
      </c>
      <c r="X48">
        <f t="shared" si="2"/>
        <v>0</v>
      </c>
      <c r="Y48">
        <f t="shared" si="2"/>
        <v>0</v>
      </c>
      <c r="Z48">
        <f t="shared" si="2"/>
        <v>0</v>
      </c>
      <c r="AA48">
        <f t="shared" si="2"/>
        <v>0</v>
      </c>
    </row>
    <row r="49" spans="2:27" x14ac:dyDescent="0.25">
      <c r="B49" s="13" t="s">
        <v>156</v>
      </c>
      <c r="C49" s="14">
        <v>7.75</v>
      </c>
      <c r="D49" s="14">
        <v>3.375</v>
      </c>
      <c r="E49" s="15">
        <v>3</v>
      </c>
      <c r="F49" s="14">
        <v>4.6875</v>
      </c>
      <c r="G49" s="14">
        <v>8</v>
      </c>
      <c r="H49" s="14">
        <v>4.1875</v>
      </c>
      <c r="I49" s="14">
        <v>8.625</v>
      </c>
      <c r="J49" s="14">
        <v>8.625</v>
      </c>
      <c r="K49" s="14">
        <v>8.3125</v>
      </c>
      <c r="L49" s="14">
        <v>6.5625</v>
      </c>
      <c r="M49" s="14">
        <v>8.75</v>
      </c>
      <c r="N49" s="14">
        <v>6.125</v>
      </c>
      <c r="P49">
        <f t="shared" si="2"/>
        <v>0</v>
      </c>
      <c r="Q49">
        <f t="shared" si="2"/>
        <v>0</v>
      </c>
      <c r="R49">
        <f t="shared" si="2"/>
        <v>1</v>
      </c>
      <c r="S49">
        <f t="shared" si="2"/>
        <v>0</v>
      </c>
      <c r="T49">
        <f t="shared" si="2"/>
        <v>0</v>
      </c>
      <c r="U49">
        <f t="shared" si="2"/>
        <v>0</v>
      </c>
      <c r="V49">
        <f t="shared" si="2"/>
        <v>0</v>
      </c>
      <c r="W49">
        <f t="shared" si="2"/>
        <v>0</v>
      </c>
      <c r="X49">
        <f t="shared" si="2"/>
        <v>0</v>
      </c>
      <c r="Y49">
        <f t="shared" si="2"/>
        <v>0</v>
      </c>
      <c r="Z49">
        <f t="shared" si="2"/>
        <v>0</v>
      </c>
      <c r="AA49">
        <f t="shared" si="2"/>
        <v>0</v>
      </c>
    </row>
    <row r="50" spans="2:27" x14ac:dyDescent="0.25">
      <c r="B50" s="13" t="s">
        <v>158</v>
      </c>
      <c r="C50" s="14">
        <v>10.875</v>
      </c>
      <c r="D50" s="14">
        <v>3.125</v>
      </c>
      <c r="E50" s="14">
        <v>5</v>
      </c>
      <c r="F50" s="14">
        <v>5.25</v>
      </c>
      <c r="G50" s="14">
        <v>6.375</v>
      </c>
      <c r="H50" s="15">
        <v>3</v>
      </c>
      <c r="I50" s="14">
        <v>5.75</v>
      </c>
      <c r="J50" s="14">
        <v>8.625</v>
      </c>
      <c r="K50" s="14">
        <v>8.375</v>
      </c>
      <c r="L50" s="14">
        <v>7.875</v>
      </c>
      <c r="M50" s="14">
        <v>9.125</v>
      </c>
      <c r="N50" s="14">
        <v>4.625</v>
      </c>
      <c r="P50">
        <f t="shared" si="2"/>
        <v>0</v>
      </c>
      <c r="Q50">
        <f t="shared" si="2"/>
        <v>0</v>
      </c>
      <c r="R50">
        <f t="shared" si="2"/>
        <v>0</v>
      </c>
      <c r="S50">
        <f t="shared" si="2"/>
        <v>0</v>
      </c>
      <c r="T50">
        <f t="shared" si="2"/>
        <v>0</v>
      </c>
      <c r="U50">
        <f t="shared" si="2"/>
        <v>1</v>
      </c>
      <c r="V50">
        <f t="shared" si="2"/>
        <v>0</v>
      </c>
      <c r="W50">
        <f t="shared" si="2"/>
        <v>0</v>
      </c>
      <c r="X50">
        <f t="shared" si="2"/>
        <v>0</v>
      </c>
      <c r="Y50">
        <f t="shared" si="2"/>
        <v>0</v>
      </c>
      <c r="Z50">
        <f t="shared" si="2"/>
        <v>0</v>
      </c>
      <c r="AA50">
        <f t="shared" si="2"/>
        <v>0</v>
      </c>
    </row>
    <row r="51" spans="2:27" x14ac:dyDescent="0.25">
      <c r="B51" s="13" t="s">
        <v>160</v>
      </c>
      <c r="C51" s="14">
        <v>7.8125</v>
      </c>
      <c r="D51" s="15">
        <v>4.9375</v>
      </c>
      <c r="E51" s="14">
        <v>6.3125</v>
      </c>
      <c r="F51" s="14">
        <v>6.0625</v>
      </c>
      <c r="G51" s="14">
        <v>6.75</v>
      </c>
      <c r="H51" s="14">
        <v>6.1875</v>
      </c>
      <c r="I51" s="14">
        <v>5.625</v>
      </c>
      <c r="J51" s="14">
        <v>5.4375</v>
      </c>
      <c r="K51" s="14">
        <v>5.1875</v>
      </c>
      <c r="L51" s="14">
        <v>8.625</v>
      </c>
      <c r="M51" s="14">
        <v>9.1875</v>
      </c>
      <c r="N51" s="14">
        <v>5.875</v>
      </c>
      <c r="P51">
        <f t="shared" si="2"/>
        <v>0</v>
      </c>
      <c r="Q51">
        <f t="shared" si="2"/>
        <v>1</v>
      </c>
      <c r="R51">
        <f t="shared" si="2"/>
        <v>0</v>
      </c>
      <c r="S51">
        <f t="shared" si="2"/>
        <v>0</v>
      </c>
      <c r="T51">
        <f t="shared" si="2"/>
        <v>0</v>
      </c>
      <c r="U51">
        <f t="shared" si="2"/>
        <v>0</v>
      </c>
      <c r="V51">
        <f t="shared" si="2"/>
        <v>0</v>
      </c>
      <c r="W51">
        <f t="shared" si="2"/>
        <v>0</v>
      </c>
      <c r="X51">
        <f t="shared" si="2"/>
        <v>0</v>
      </c>
      <c r="Y51">
        <f t="shared" si="2"/>
        <v>0</v>
      </c>
      <c r="Z51">
        <f t="shared" si="2"/>
        <v>0</v>
      </c>
      <c r="AA51">
        <f t="shared" si="2"/>
        <v>0</v>
      </c>
    </row>
    <row r="52" spans="2:27" x14ac:dyDescent="0.25">
      <c r="B52" s="13" t="s">
        <v>162</v>
      </c>
      <c r="C52" s="14">
        <v>10.5</v>
      </c>
      <c r="D52" s="14">
        <v>8.25</v>
      </c>
      <c r="E52" s="14">
        <v>4.625</v>
      </c>
      <c r="F52" s="14">
        <v>6.375</v>
      </c>
      <c r="G52" s="14">
        <v>3.75</v>
      </c>
      <c r="H52" s="14">
        <v>4.9375</v>
      </c>
      <c r="I52" s="14">
        <v>6.25</v>
      </c>
      <c r="J52" s="14">
        <v>6.25</v>
      </c>
      <c r="K52" s="14">
        <v>5.6875</v>
      </c>
      <c r="L52" s="14">
        <v>10.125</v>
      </c>
      <c r="M52" s="14">
        <v>7.75</v>
      </c>
      <c r="N52" s="15">
        <v>3.5</v>
      </c>
      <c r="P52">
        <f t="shared" si="2"/>
        <v>0</v>
      </c>
      <c r="Q52">
        <f t="shared" si="2"/>
        <v>0</v>
      </c>
      <c r="R52">
        <f t="shared" si="2"/>
        <v>0</v>
      </c>
      <c r="S52">
        <f t="shared" si="2"/>
        <v>0</v>
      </c>
      <c r="T52">
        <f t="shared" si="2"/>
        <v>0</v>
      </c>
      <c r="U52">
        <f t="shared" si="2"/>
        <v>0</v>
      </c>
      <c r="V52">
        <f t="shared" si="2"/>
        <v>0</v>
      </c>
      <c r="W52">
        <f t="shared" si="2"/>
        <v>0</v>
      </c>
      <c r="X52">
        <f t="shared" si="2"/>
        <v>0</v>
      </c>
      <c r="Y52">
        <f t="shared" si="2"/>
        <v>0</v>
      </c>
      <c r="Z52">
        <f t="shared" si="2"/>
        <v>0</v>
      </c>
      <c r="AA52">
        <f t="shared" si="2"/>
        <v>1</v>
      </c>
    </row>
    <row r="53" spans="2:27" x14ac:dyDescent="0.25">
      <c r="B53" s="13" t="s">
        <v>164</v>
      </c>
      <c r="C53" s="14">
        <v>10.125</v>
      </c>
      <c r="D53" s="14">
        <v>8.125</v>
      </c>
      <c r="E53" s="14">
        <v>5.125</v>
      </c>
      <c r="F53" s="14">
        <v>6.125</v>
      </c>
      <c r="G53" s="14">
        <v>6.3125</v>
      </c>
      <c r="H53" s="14">
        <v>5.375</v>
      </c>
      <c r="I53" s="14">
        <v>5.4375</v>
      </c>
      <c r="J53" s="14">
        <v>9.875</v>
      </c>
      <c r="K53" s="14">
        <v>4.5625</v>
      </c>
      <c r="L53" s="14">
        <v>5.4375</v>
      </c>
      <c r="M53" s="14">
        <v>7.8125</v>
      </c>
      <c r="N53" s="15">
        <v>3.6875</v>
      </c>
      <c r="P53">
        <f t="shared" si="2"/>
        <v>0</v>
      </c>
      <c r="Q53">
        <f t="shared" si="2"/>
        <v>0</v>
      </c>
      <c r="R53">
        <f t="shared" si="2"/>
        <v>0</v>
      </c>
      <c r="S53">
        <f t="shared" si="2"/>
        <v>0</v>
      </c>
      <c r="T53">
        <f t="shared" si="2"/>
        <v>0</v>
      </c>
      <c r="U53">
        <f t="shared" si="2"/>
        <v>0</v>
      </c>
      <c r="V53">
        <f t="shared" si="2"/>
        <v>0</v>
      </c>
      <c r="W53">
        <f t="shared" si="2"/>
        <v>0</v>
      </c>
      <c r="X53">
        <f t="shared" si="2"/>
        <v>0</v>
      </c>
      <c r="Y53">
        <f t="shared" si="2"/>
        <v>0</v>
      </c>
      <c r="Z53">
        <f t="shared" si="2"/>
        <v>0</v>
      </c>
      <c r="AA53">
        <f t="shared" si="2"/>
        <v>1</v>
      </c>
    </row>
    <row r="54" spans="2:27" x14ac:dyDescent="0.25">
      <c r="B54" s="13" t="s">
        <v>166</v>
      </c>
      <c r="C54" s="14">
        <v>11.75</v>
      </c>
      <c r="D54" s="14">
        <v>9.3125</v>
      </c>
      <c r="E54" s="14">
        <v>5.125</v>
      </c>
      <c r="F54" s="14">
        <v>6.75</v>
      </c>
      <c r="G54" s="14">
        <v>5</v>
      </c>
      <c r="H54" s="14">
        <v>6.75</v>
      </c>
      <c r="I54" s="14">
        <v>4.5</v>
      </c>
      <c r="J54" s="14">
        <v>9.25</v>
      </c>
      <c r="K54" s="14">
        <v>6.125</v>
      </c>
      <c r="L54" s="14">
        <v>2.25</v>
      </c>
      <c r="M54" s="14">
        <v>10.0625</v>
      </c>
      <c r="N54" s="15">
        <v>1.125</v>
      </c>
      <c r="P54">
        <f t="shared" si="2"/>
        <v>0</v>
      </c>
      <c r="Q54">
        <f t="shared" si="2"/>
        <v>0</v>
      </c>
      <c r="R54">
        <f t="shared" si="2"/>
        <v>0</v>
      </c>
      <c r="S54">
        <f t="shared" si="2"/>
        <v>0</v>
      </c>
      <c r="T54">
        <f t="shared" si="2"/>
        <v>0</v>
      </c>
      <c r="U54">
        <f t="shared" si="2"/>
        <v>0</v>
      </c>
      <c r="V54">
        <f t="shared" si="2"/>
        <v>0</v>
      </c>
      <c r="W54">
        <f t="shared" si="2"/>
        <v>0</v>
      </c>
      <c r="X54">
        <f t="shared" si="2"/>
        <v>0</v>
      </c>
      <c r="Y54">
        <f t="shared" si="2"/>
        <v>0</v>
      </c>
      <c r="Z54">
        <f t="shared" si="2"/>
        <v>0</v>
      </c>
      <c r="AA54">
        <f t="shared" si="2"/>
        <v>1</v>
      </c>
    </row>
    <row r="55" spans="2:27" x14ac:dyDescent="0.25">
      <c r="B55" s="12" t="s">
        <v>170</v>
      </c>
      <c r="C55" s="16">
        <v>9.290865384615385</v>
      </c>
      <c r="D55" s="16">
        <v>6.5132211538461542</v>
      </c>
      <c r="E55" s="16">
        <v>5.881009615384615</v>
      </c>
      <c r="F55" s="16">
        <v>6.009615384615385</v>
      </c>
      <c r="G55" s="16">
        <v>6.1213942307692308</v>
      </c>
      <c r="H55" s="16">
        <v>5.2896634615384617</v>
      </c>
      <c r="I55" s="16">
        <v>6.0336538461538458</v>
      </c>
      <c r="J55" s="16">
        <v>8.165865384615385</v>
      </c>
      <c r="K55" s="16">
        <v>6.4170673076923075</v>
      </c>
      <c r="L55" s="16">
        <v>6.2980769230769234</v>
      </c>
      <c r="M55" s="16">
        <v>7.8677884615384617</v>
      </c>
      <c r="N55" s="17">
        <v>4.1117788461538458</v>
      </c>
      <c r="P55">
        <f t="shared" ref="P55:AA55" si="3">SUM(P3:P54)</f>
        <v>1</v>
      </c>
      <c r="Q55">
        <f t="shared" si="3"/>
        <v>3</v>
      </c>
      <c r="R55">
        <f t="shared" si="3"/>
        <v>3</v>
      </c>
      <c r="S55">
        <f t="shared" si="3"/>
        <v>5</v>
      </c>
      <c r="T55">
        <f t="shared" si="3"/>
        <v>10</v>
      </c>
      <c r="U55">
        <f t="shared" si="3"/>
        <v>5</v>
      </c>
      <c r="V55">
        <f t="shared" si="3"/>
        <v>3</v>
      </c>
      <c r="W55">
        <f t="shared" si="3"/>
        <v>0</v>
      </c>
      <c r="X55">
        <f t="shared" si="3"/>
        <v>0</v>
      </c>
      <c r="Y55">
        <f t="shared" si="3"/>
        <v>4</v>
      </c>
      <c r="Z55">
        <f t="shared" si="3"/>
        <v>0</v>
      </c>
      <c r="AA55">
        <f t="shared" si="3"/>
        <v>19</v>
      </c>
    </row>
    <row r="56" spans="2:27" x14ac:dyDescent="0.25">
      <c r="B56" s="12" t="s">
        <v>171</v>
      </c>
      <c r="C56" s="6">
        <f>P55</f>
        <v>1</v>
      </c>
      <c r="D56" s="6">
        <f t="shared" ref="D56:N56" si="4">Q55</f>
        <v>3</v>
      </c>
      <c r="E56" s="6">
        <f t="shared" si="4"/>
        <v>3</v>
      </c>
      <c r="F56" s="6">
        <f t="shared" si="4"/>
        <v>5</v>
      </c>
      <c r="G56" s="6">
        <f t="shared" si="4"/>
        <v>10</v>
      </c>
      <c r="H56" s="6">
        <f t="shared" si="4"/>
        <v>5</v>
      </c>
      <c r="I56" s="6">
        <f t="shared" si="4"/>
        <v>3</v>
      </c>
      <c r="J56" s="6">
        <f t="shared" si="4"/>
        <v>0</v>
      </c>
      <c r="K56" s="6">
        <f t="shared" si="4"/>
        <v>0</v>
      </c>
      <c r="L56" s="6">
        <f t="shared" si="4"/>
        <v>4</v>
      </c>
      <c r="M56" s="6">
        <f t="shared" si="4"/>
        <v>0</v>
      </c>
      <c r="N56" s="45">
        <f t="shared" si="4"/>
        <v>19</v>
      </c>
    </row>
    <row r="60" spans="2:27" x14ac:dyDescent="0.25">
      <c r="B60" s="2" t="s">
        <v>169</v>
      </c>
      <c r="C60" s="2" t="s">
        <v>0</v>
      </c>
      <c r="D60" s="2" t="s">
        <v>1</v>
      </c>
      <c r="E60" s="2" t="s">
        <v>2</v>
      </c>
      <c r="F60" s="2" t="s">
        <v>3</v>
      </c>
      <c r="G60" s="2" t="s">
        <v>4</v>
      </c>
      <c r="H60" s="2" t="s">
        <v>5</v>
      </c>
      <c r="I60" s="2" t="s">
        <v>6</v>
      </c>
      <c r="J60" s="2" t="s">
        <v>7</v>
      </c>
      <c r="K60" s="2" t="s">
        <v>8</v>
      </c>
      <c r="L60" s="2" t="s">
        <v>9</v>
      </c>
      <c r="M60" s="2" t="s">
        <v>10</v>
      </c>
      <c r="N60" s="2" t="s">
        <v>11</v>
      </c>
      <c r="P60" s="1" t="s">
        <v>0</v>
      </c>
      <c r="Q60" s="1" t="s">
        <v>1</v>
      </c>
      <c r="R60" s="1" t="s">
        <v>2</v>
      </c>
      <c r="S60" s="1" t="s">
        <v>3</v>
      </c>
      <c r="T60" s="1" t="s">
        <v>4</v>
      </c>
      <c r="U60" s="1" t="s">
        <v>5</v>
      </c>
      <c r="V60" s="1" t="s">
        <v>6</v>
      </c>
      <c r="W60" s="1" t="s">
        <v>7</v>
      </c>
      <c r="X60" s="1" t="s">
        <v>8</v>
      </c>
      <c r="Y60" s="1" t="s">
        <v>9</v>
      </c>
      <c r="Z60" s="1" t="s">
        <v>10</v>
      </c>
      <c r="AA60" s="1" t="s">
        <v>11</v>
      </c>
    </row>
    <row r="61" spans="2:27" x14ac:dyDescent="0.25">
      <c r="B61" s="19" t="s">
        <v>65</v>
      </c>
      <c r="C61" s="14">
        <v>0.8041386064592978</v>
      </c>
      <c r="D61" s="14">
        <v>0.80523205149999111</v>
      </c>
      <c r="E61" s="14">
        <v>0.84874026385484314</v>
      </c>
      <c r="F61" s="14">
        <v>0.83917447296895942</v>
      </c>
      <c r="G61" s="14">
        <v>0.86398532205419964</v>
      </c>
      <c r="H61" s="14">
        <v>0.85294064370355138</v>
      </c>
      <c r="I61" s="14">
        <v>0.85829866169451918</v>
      </c>
      <c r="J61" s="14">
        <v>0.81884856695625596</v>
      </c>
      <c r="K61" s="14">
        <v>0.86305574251268957</v>
      </c>
      <c r="L61" s="14">
        <v>0.84811530672369573</v>
      </c>
      <c r="M61" s="14">
        <v>0.82587214670075404</v>
      </c>
      <c r="N61" s="15">
        <v>0.88079469757132145</v>
      </c>
      <c r="P61">
        <f>IF(C61=MAX($C61:$N61),1,0)</f>
        <v>0</v>
      </c>
      <c r="Q61">
        <f t="shared" ref="Q61:AA61" si="5">IF(D61=MAX($C61:$N61),1,0)</f>
        <v>0</v>
      </c>
      <c r="R61">
        <f t="shared" si="5"/>
        <v>0</v>
      </c>
      <c r="S61">
        <f t="shared" si="5"/>
        <v>0</v>
      </c>
      <c r="T61">
        <f t="shared" si="5"/>
        <v>0</v>
      </c>
      <c r="U61">
        <f t="shared" si="5"/>
        <v>0</v>
      </c>
      <c r="V61">
        <f t="shared" si="5"/>
        <v>0</v>
      </c>
      <c r="W61">
        <f t="shared" si="5"/>
        <v>0</v>
      </c>
      <c r="X61">
        <f t="shared" si="5"/>
        <v>0</v>
      </c>
      <c r="Y61">
        <f t="shared" si="5"/>
        <v>0</v>
      </c>
      <c r="Z61">
        <f t="shared" si="5"/>
        <v>0</v>
      </c>
      <c r="AA61">
        <f t="shared" si="5"/>
        <v>1</v>
      </c>
    </row>
    <row r="62" spans="2:27" x14ac:dyDescent="0.25">
      <c r="B62" s="19" t="s">
        <v>67</v>
      </c>
      <c r="C62" s="14">
        <v>0.80885745398056708</v>
      </c>
      <c r="D62" s="14">
        <v>0.81470777051401844</v>
      </c>
      <c r="E62" s="14">
        <v>0.83827517571427368</v>
      </c>
      <c r="F62" s="14">
        <v>0.81435901838186664</v>
      </c>
      <c r="G62" s="14">
        <v>0.8516571236842031</v>
      </c>
      <c r="H62" s="14">
        <v>0.84381662074770214</v>
      </c>
      <c r="I62" s="14">
        <v>0.8521852637666596</v>
      </c>
      <c r="J62" s="14">
        <v>0.80184998604351954</v>
      </c>
      <c r="K62" s="14">
        <v>0.83585897591349201</v>
      </c>
      <c r="L62" s="14">
        <v>0.83415515103629656</v>
      </c>
      <c r="M62" s="14">
        <v>0.83275873794962141</v>
      </c>
      <c r="N62" s="15">
        <v>0.86771784946219888</v>
      </c>
      <c r="P62">
        <f t="shared" ref="P62:P112" si="6">IF(C62=MAX($C62:$N62),1,0)</f>
        <v>0</v>
      </c>
      <c r="Q62">
        <f t="shared" ref="Q62:Q112" si="7">IF(D62=MAX($C62:$N62),1,0)</f>
        <v>0</v>
      </c>
      <c r="R62">
        <f t="shared" ref="R62:R112" si="8">IF(E62=MAX($C62:$N62),1,0)</f>
        <v>0</v>
      </c>
      <c r="S62">
        <f t="shared" ref="S62:S112" si="9">IF(F62=MAX($C62:$N62),1,0)</f>
        <v>0</v>
      </c>
      <c r="T62">
        <f t="shared" ref="T62:T112" si="10">IF(G62=MAX($C62:$N62),1,0)</f>
        <v>0</v>
      </c>
      <c r="U62">
        <f t="shared" ref="U62:U112" si="11">IF(H62=MAX($C62:$N62),1,0)</f>
        <v>0</v>
      </c>
      <c r="V62">
        <f t="shared" ref="V62:V112" si="12">IF(I62=MAX($C62:$N62),1,0)</f>
        <v>0</v>
      </c>
      <c r="W62">
        <f t="shared" ref="W62:W112" si="13">IF(J62=MAX($C62:$N62),1,0)</f>
        <v>0</v>
      </c>
      <c r="X62">
        <f t="shared" ref="X62:X112" si="14">IF(K62=MAX($C62:$N62),1,0)</f>
        <v>0</v>
      </c>
      <c r="Y62">
        <f t="shared" ref="Y62:Y112" si="15">IF(L62=MAX($C62:$N62),1,0)</f>
        <v>0</v>
      </c>
      <c r="Z62">
        <f t="shared" ref="Z62:Z112" si="16">IF(M62=MAX($C62:$N62),1,0)</f>
        <v>0</v>
      </c>
      <c r="AA62">
        <f t="shared" ref="AA62:AA112" si="17">IF(N62=MAX($C62:$N62),1,0)</f>
        <v>1</v>
      </c>
    </row>
    <row r="63" spans="2:27" x14ac:dyDescent="0.25">
      <c r="B63" s="19" t="s">
        <v>69</v>
      </c>
      <c r="C63" s="14">
        <v>0.8406139198289615</v>
      </c>
      <c r="D63" s="14">
        <v>0.84337854940037116</v>
      </c>
      <c r="E63" s="14">
        <v>0.88479318218091185</v>
      </c>
      <c r="F63" s="14">
        <v>0.88332775093433802</v>
      </c>
      <c r="G63" s="14">
        <v>0.89002470036812786</v>
      </c>
      <c r="H63" s="14">
        <v>0.87531612592012054</v>
      </c>
      <c r="I63" s="14">
        <v>0.88810796159383321</v>
      </c>
      <c r="J63" s="14">
        <v>0.84912685798440002</v>
      </c>
      <c r="K63" s="14">
        <v>0.86498187077018451</v>
      </c>
      <c r="L63" s="14">
        <v>0.85002929910848735</v>
      </c>
      <c r="M63" s="14">
        <v>0.8548069778477303</v>
      </c>
      <c r="N63" s="15">
        <v>0.89022499840629832</v>
      </c>
      <c r="P63">
        <f t="shared" si="6"/>
        <v>0</v>
      </c>
      <c r="Q63">
        <f t="shared" si="7"/>
        <v>0</v>
      </c>
      <c r="R63">
        <f t="shared" si="8"/>
        <v>0</v>
      </c>
      <c r="S63">
        <f t="shared" si="9"/>
        <v>0</v>
      </c>
      <c r="T63">
        <f t="shared" si="10"/>
        <v>0</v>
      </c>
      <c r="U63">
        <f t="shared" si="11"/>
        <v>0</v>
      </c>
      <c r="V63">
        <f t="shared" si="12"/>
        <v>0</v>
      </c>
      <c r="W63">
        <f t="shared" si="13"/>
        <v>0</v>
      </c>
      <c r="X63">
        <f t="shared" si="14"/>
        <v>0</v>
      </c>
      <c r="Y63">
        <f t="shared" si="15"/>
        <v>0</v>
      </c>
      <c r="Z63">
        <f t="shared" si="16"/>
        <v>0</v>
      </c>
      <c r="AA63">
        <f t="shared" si="17"/>
        <v>1</v>
      </c>
    </row>
    <row r="64" spans="2:27" x14ac:dyDescent="0.25">
      <c r="B64" s="19" t="s">
        <v>71</v>
      </c>
      <c r="C64" s="14">
        <v>0.82566807651040386</v>
      </c>
      <c r="D64" s="14">
        <v>0.81788335181900262</v>
      </c>
      <c r="E64" s="14">
        <v>0.84566537894544014</v>
      </c>
      <c r="F64" s="14">
        <v>0.82036882145773382</v>
      </c>
      <c r="G64" s="14">
        <v>0.83559660769435007</v>
      </c>
      <c r="H64" s="15">
        <v>0.86979699184049863</v>
      </c>
      <c r="I64" s="14">
        <v>0.84639485046548912</v>
      </c>
      <c r="J64" s="14">
        <v>0.77898783702365837</v>
      </c>
      <c r="K64" s="14">
        <v>0.82311281475488984</v>
      </c>
      <c r="L64" s="14">
        <v>0.85431539654607602</v>
      </c>
      <c r="M64" s="14">
        <v>0.84394911922865801</v>
      </c>
      <c r="N64" s="14">
        <v>0.86642342851541454</v>
      </c>
      <c r="P64">
        <f t="shared" si="6"/>
        <v>0</v>
      </c>
      <c r="Q64">
        <f t="shared" si="7"/>
        <v>0</v>
      </c>
      <c r="R64">
        <f t="shared" si="8"/>
        <v>0</v>
      </c>
      <c r="S64">
        <f t="shared" si="9"/>
        <v>0</v>
      </c>
      <c r="T64">
        <f t="shared" si="10"/>
        <v>0</v>
      </c>
      <c r="U64">
        <f t="shared" si="11"/>
        <v>1</v>
      </c>
      <c r="V64">
        <f t="shared" si="12"/>
        <v>0</v>
      </c>
      <c r="W64">
        <f t="shared" si="13"/>
        <v>0</v>
      </c>
      <c r="X64">
        <f t="shared" si="14"/>
        <v>0</v>
      </c>
      <c r="Y64">
        <f t="shared" si="15"/>
        <v>0</v>
      </c>
      <c r="Z64">
        <f t="shared" si="16"/>
        <v>0</v>
      </c>
      <c r="AA64">
        <f t="shared" si="17"/>
        <v>0</v>
      </c>
    </row>
    <row r="65" spans="2:27" x14ac:dyDescent="0.25">
      <c r="B65" s="19" t="s">
        <v>73</v>
      </c>
      <c r="C65" s="14">
        <v>0.79716536313601416</v>
      </c>
      <c r="D65" s="14">
        <v>0.81118983471314399</v>
      </c>
      <c r="E65" s="14">
        <v>0.84303285857904309</v>
      </c>
      <c r="F65" s="14">
        <v>0.88183372707602548</v>
      </c>
      <c r="G65" s="15">
        <v>0.88831972483347499</v>
      </c>
      <c r="H65" s="14">
        <v>0.84450321900329128</v>
      </c>
      <c r="I65" s="14">
        <v>0.8602000222980577</v>
      </c>
      <c r="J65" s="14">
        <v>0.83260200708642629</v>
      </c>
      <c r="K65" s="14">
        <v>0.86207604644645675</v>
      </c>
      <c r="L65" s="14">
        <v>0.80741036184347115</v>
      </c>
      <c r="M65" s="14">
        <v>0.84500912732761424</v>
      </c>
      <c r="N65" s="14">
        <v>0.86794920375997853</v>
      </c>
      <c r="P65">
        <f t="shared" si="6"/>
        <v>0</v>
      </c>
      <c r="Q65">
        <f t="shared" si="7"/>
        <v>0</v>
      </c>
      <c r="R65">
        <f t="shared" si="8"/>
        <v>0</v>
      </c>
      <c r="S65">
        <f t="shared" si="9"/>
        <v>0</v>
      </c>
      <c r="T65">
        <f t="shared" si="10"/>
        <v>1</v>
      </c>
      <c r="U65">
        <f t="shared" si="11"/>
        <v>0</v>
      </c>
      <c r="V65">
        <f t="shared" si="12"/>
        <v>0</v>
      </c>
      <c r="W65">
        <f t="shared" si="13"/>
        <v>0</v>
      </c>
      <c r="X65">
        <f t="shared" si="14"/>
        <v>0</v>
      </c>
      <c r="Y65">
        <f t="shared" si="15"/>
        <v>0</v>
      </c>
      <c r="Z65">
        <f t="shared" si="16"/>
        <v>0</v>
      </c>
      <c r="AA65">
        <f t="shared" si="17"/>
        <v>0</v>
      </c>
    </row>
    <row r="66" spans="2:27" x14ac:dyDescent="0.25">
      <c r="B66" s="19" t="s">
        <v>75</v>
      </c>
      <c r="C66" s="14">
        <v>0.83103770725190651</v>
      </c>
      <c r="D66" s="14">
        <v>0.82225426596437845</v>
      </c>
      <c r="E66" s="14">
        <v>0.85908943854894104</v>
      </c>
      <c r="F66" s="14">
        <v>0.8817814589832248</v>
      </c>
      <c r="G66" s="15">
        <v>0.88246102140387628</v>
      </c>
      <c r="H66" s="14">
        <v>0.86177733656442623</v>
      </c>
      <c r="I66" s="14">
        <v>0.8272555673037183</v>
      </c>
      <c r="J66" s="14">
        <v>0.87127460356119046</v>
      </c>
      <c r="K66" s="14">
        <v>0.8514199323574424</v>
      </c>
      <c r="L66" s="14">
        <v>0.85633090902395459</v>
      </c>
      <c r="M66" s="14">
        <v>0.85280913695926919</v>
      </c>
      <c r="N66" s="14">
        <v>0.87306289975370077</v>
      </c>
      <c r="P66">
        <f t="shared" si="6"/>
        <v>0</v>
      </c>
      <c r="Q66">
        <f t="shared" si="7"/>
        <v>0</v>
      </c>
      <c r="R66">
        <f t="shared" si="8"/>
        <v>0</v>
      </c>
      <c r="S66">
        <f t="shared" si="9"/>
        <v>0</v>
      </c>
      <c r="T66">
        <f t="shared" si="10"/>
        <v>1</v>
      </c>
      <c r="U66">
        <f t="shared" si="11"/>
        <v>0</v>
      </c>
      <c r="V66">
        <f t="shared" si="12"/>
        <v>0</v>
      </c>
      <c r="W66">
        <f t="shared" si="13"/>
        <v>0</v>
      </c>
      <c r="X66">
        <f t="shared" si="14"/>
        <v>0</v>
      </c>
      <c r="Y66">
        <f t="shared" si="15"/>
        <v>0</v>
      </c>
      <c r="Z66">
        <f t="shared" si="16"/>
        <v>0</v>
      </c>
      <c r="AA66">
        <f t="shared" si="17"/>
        <v>0</v>
      </c>
    </row>
    <row r="67" spans="2:27" x14ac:dyDescent="0.25">
      <c r="B67" s="19" t="s">
        <v>77</v>
      </c>
      <c r="C67" s="14">
        <v>0.83736704671916329</v>
      </c>
      <c r="D67" s="14">
        <v>0.84794955049220166</v>
      </c>
      <c r="E67" s="14">
        <v>0.87308484758499427</v>
      </c>
      <c r="F67" s="15">
        <v>0.89515998692192533</v>
      </c>
      <c r="G67" s="14">
        <v>0.8769683631354076</v>
      </c>
      <c r="H67" s="14">
        <v>0.87659725147471579</v>
      </c>
      <c r="I67" s="14">
        <v>0.86353106729286622</v>
      </c>
      <c r="J67" s="14">
        <v>0.83498950509773184</v>
      </c>
      <c r="K67" s="14">
        <v>0.85625123962649119</v>
      </c>
      <c r="L67" s="14">
        <v>0.87054031883713523</v>
      </c>
      <c r="M67" s="14">
        <v>0.88281331281850073</v>
      </c>
      <c r="N67" s="14">
        <v>0.89338158952485469</v>
      </c>
      <c r="P67">
        <f t="shared" si="6"/>
        <v>0</v>
      </c>
      <c r="Q67">
        <f t="shared" si="7"/>
        <v>0</v>
      </c>
      <c r="R67">
        <f t="shared" si="8"/>
        <v>0</v>
      </c>
      <c r="S67">
        <f t="shared" si="9"/>
        <v>1</v>
      </c>
      <c r="T67">
        <f t="shared" si="10"/>
        <v>0</v>
      </c>
      <c r="U67">
        <f t="shared" si="11"/>
        <v>0</v>
      </c>
      <c r="V67">
        <f t="shared" si="12"/>
        <v>0</v>
      </c>
      <c r="W67">
        <f t="shared" si="13"/>
        <v>0</v>
      </c>
      <c r="X67">
        <f t="shared" si="14"/>
        <v>0</v>
      </c>
      <c r="Y67">
        <f t="shared" si="15"/>
        <v>0</v>
      </c>
      <c r="Z67">
        <f t="shared" si="16"/>
        <v>0</v>
      </c>
      <c r="AA67">
        <f t="shared" si="17"/>
        <v>0</v>
      </c>
    </row>
    <row r="68" spans="2:27" x14ac:dyDescent="0.25">
      <c r="B68" s="19" t="s">
        <v>79</v>
      </c>
      <c r="C68" s="14">
        <v>0.82250150032012515</v>
      </c>
      <c r="D68" s="14">
        <v>0.8204442346564752</v>
      </c>
      <c r="E68" s="14">
        <v>0.84629880721751394</v>
      </c>
      <c r="F68" s="14">
        <v>0.87978045342694755</v>
      </c>
      <c r="G68" s="14">
        <v>0.87721365931535011</v>
      </c>
      <c r="H68" s="14">
        <v>0.87480827368489877</v>
      </c>
      <c r="I68" s="14">
        <v>0.87771654903995944</v>
      </c>
      <c r="J68" s="14">
        <v>0.78006315685411609</v>
      </c>
      <c r="K68" s="14">
        <v>0.8610377195683605</v>
      </c>
      <c r="L68" s="14">
        <v>0.85045443710435054</v>
      </c>
      <c r="M68" s="14">
        <v>0.83333621365624722</v>
      </c>
      <c r="N68" s="15">
        <v>0.88328204605029215</v>
      </c>
      <c r="P68">
        <f t="shared" si="6"/>
        <v>0</v>
      </c>
      <c r="Q68">
        <f t="shared" si="7"/>
        <v>0</v>
      </c>
      <c r="R68">
        <f t="shared" si="8"/>
        <v>0</v>
      </c>
      <c r="S68">
        <f t="shared" si="9"/>
        <v>0</v>
      </c>
      <c r="T68">
        <f t="shared" si="10"/>
        <v>0</v>
      </c>
      <c r="U68">
        <f t="shared" si="11"/>
        <v>0</v>
      </c>
      <c r="V68">
        <f t="shared" si="12"/>
        <v>0</v>
      </c>
      <c r="W68">
        <f t="shared" si="13"/>
        <v>0</v>
      </c>
      <c r="X68">
        <f t="shared" si="14"/>
        <v>0</v>
      </c>
      <c r="Y68">
        <f t="shared" si="15"/>
        <v>0</v>
      </c>
      <c r="Z68">
        <f t="shared" si="16"/>
        <v>0</v>
      </c>
      <c r="AA68">
        <f t="shared" si="17"/>
        <v>1</v>
      </c>
    </row>
    <row r="69" spans="2:27" x14ac:dyDescent="0.25">
      <c r="B69" s="19" t="s">
        <v>81</v>
      </c>
      <c r="C69" s="14">
        <v>0.82713584648427363</v>
      </c>
      <c r="D69" s="14">
        <v>0.8165187109903248</v>
      </c>
      <c r="E69" s="14">
        <v>0.83765366698551835</v>
      </c>
      <c r="F69" s="14">
        <v>0.84803592112110848</v>
      </c>
      <c r="G69" s="15">
        <v>0.87857611704584904</v>
      </c>
      <c r="H69" s="14">
        <v>0.87447706510405709</v>
      </c>
      <c r="I69" s="14">
        <v>0.85695430873970269</v>
      </c>
      <c r="J69" s="14">
        <v>0.83884512096059627</v>
      </c>
      <c r="K69" s="14">
        <v>0.87402068729781579</v>
      </c>
      <c r="L69" s="14">
        <v>0.85114498070983846</v>
      </c>
      <c r="M69" s="14">
        <v>0.85464304729953922</v>
      </c>
      <c r="N69" s="14">
        <v>0.8743709675688156</v>
      </c>
      <c r="P69">
        <f t="shared" si="6"/>
        <v>0</v>
      </c>
      <c r="Q69">
        <f t="shared" si="7"/>
        <v>0</v>
      </c>
      <c r="R69">
        <f t="shared" si="8"/>
        <v>0</v>
      </c>
      <c r="S69">
        <f t="shared" si="9"/>
        <v>0</v>
      </c>
      <c r="T69">
        <f t="shared" si="10"/>
        <v>1</v>
      </c>
      <c r="U69">
        <f t="shared" si="11"/>
        <v>0</v>
      </c>
      <c r="V69">
        <f t="shared" si="12"/>
        <v>0</v>
      </c>
      <c r="W69">
        <f t="shared" si="13"/>
        <v>0</v>
      </c>
      <c r="X69">
        <f t="shared" si="14"/>
        <v>0</v>
      </c>
      <c r="Y69">
        <f t="shared" si="15"/>
        <v>0</v>
      </c>
      <c r="Z69">
        <f t="shared" si="16"/>
        <v>0</v>
      </c>
      <c r="AA69">
        <f t="shared" si="17"/>
        <v>0</v>
      </c>
    </row>
    <row r="70" spans="2:27" x14ac:dyDescent="0.25">
      <c r="B70" s="19" t="s">
        <v>83</v>
      </c>
      <c r="C70" s="14">
        <v>0.97386969431794512</v>
      </c>
      <c r="D70" s="14">
        <v>0.97011045191912371</v>
      </c>
      <c r="E70" s="14">
        <v>0.97664240453061013</v>
      </c>
      <c r="F70" s="14">
        <v>0.97439186263598976</v>
      </c>
      <c r="G70" s="14">
        <v>0.9708119134480685</v>
      </c>
      <c r="H70" s="14">
        <v>0.96684338173066509</v>
      </c>
      <c r="I70" s="14">
        <v>0.97259982323619976</v>
      </c>
      <c r="J70" s="14">
        <v>0.96670073177064952</v>
      </c>
      <c r="K70" s="15">
        <v>0.9770182734853512</v>
      </c>
      <c r="L70" s="14">
        <v>0.97317399497655888</v>
      </c>
      <c r="M70" s="14">
        <v>0.97316704564341394</v>
      </c>
      <c r="N70" s="14">
        <v>0.97567295059807613</v>
      </c>
      <c r="P70">
        <f t="shared" si="6"/>
        <v>0</v>
      </c>
      <c r="Q70">
        <f t="shared" si="7"/>
        <v>0</v>
      </c>
      <c r="R70">
        <f t="shared" si="8"/>
        <v>0</v>
      </c>
      <c r="S70">
        <f t="shared" si="9"/>
        <v>0</v>
      </c>
      <c r="T70">
        <f t="shared" si="10"/>
        <v>0</v>
      </c>
      <c r="U70">
        <f t="shared" si="11"/>
        <v>0</v>
      </c>
      <c r="V70">
        <f t="shared" si="12"/>
        <v>0</v>
      </c>
      <c r="W70">
        <f t="shared" si="13"/>
        <v>0</v>
      </c>
      <c r="X70">
        <f t="shared" si="14"/>
        <v>1</v>
      </c>
      <c r="Y70">
        <f t="shared" si="15"/>
        <v>0</v>
      </c>
      <c r="Z70">
        <f t="shared" si="16"/>
        <v>0</v>
      </c>
      <c r="AA70">
        <f t="shared" si="17"/>
        <v>0</v>
      </c>
    </row>
    <row r="71" spans="2:27" x14ac:dyDescent="0.25">
      <c r="B71" s="19" t="s">
        <v>85</v>
      </c>
      <c r="C71" s="14">
        <v>0.84557590463224408</v>
      </c>
      <c r="D71" s="14">
        <v>0.85232732625709151</v>
      </c>
      <c r="E71" s="14">
        <v>0.85266270025243829</v>
      </c>
      <c r="F71" s="14">
        <v>0.86906463561390124</v>
      </c>
      <c r="G71" s="15">
        <v>0.87525616269070783</v>
      </c>
      <c r="H71" s="14">
        <v>0.87070546595438592</v>
      </c>
      <c r="I71" s="14">
        <v>0.85180527490168789</v>
      </c>
      <c r="J71" s="14">
        <v>0.85409555672889848</v>
      </c>
      <c r="K71" s="14">
        <v>0.86929359713379473</v>
      </c>
      <c r="L71" s="14">
        <v>0.85811773610172171</v>
      </c>
      <c r="M71" s="14">
        <v>0.85158371266597488</v>
      </c>
      <c r="N71" s="14">
        <v>0.86131730975751142</v>
      </c>
      <c r="P71">
        <f t="shared" si="6"/>
        <v>0</v>
      </c>
      <c r="Q71">
        <f t="shared" si="7"/>
        <v>0</v>
      </c>
      <c r="R71">
        <f t="shared" si="8"/>
        <v>0</v>
      </c>
      <c r="S71">
        <f t="shared" si="9"/>
        <v>0</v>
      </c>
      <c r="T71">
        <f t="shared" si="10"/>
        <v>1</v>
      </c>
      <c r="U71">
        <f t="shared" si="11"/>
        <v>0</v>
      </c>
      <c r="V71">
        <f t="shared" si="12"/>
        <v>0</v>
      </c>
      <c r="W71">
        <f t="shared" si="13"/>
        <v>0</v>
      </c>
      <c r="X71">
        <f t="shared" si="14"/>
        <v>0</v>
      </c>
      <c r="Y71">
        <f t="shared" si="15"/>
        <v>0</v>
      </c>
      <c r="Z71">
        <f t="shared" si="16"/>
        <v>0</v>
      </c>
      <c r="AA71">
        <f t="shared" si="17"/>
        <v>0</v>
      </c>
    </row>
    <row r="72" spans="2:27" x14ac:dyDescent="0.25">
      <c r="B72" s="19" t="s">
        <v>87</v>
      </c>
      <c r="C72" s="14">
        <v>0.81024708719203908</v>
      </c>
      <c r="D72" s="14">
        <v>0.84920905515223766</v>
      </c>
      <c r="E72" s="14">
        <v>0.84588369801822039</v>
      </c>
      <c r="F72" s="14">
        <v>0.88903011575246049</v>
      </c>
      <c r="G72" s="15">
        <v>0.89427291421621358</v>
      </c>
      <c r="H72" s="14">
        <v>0.87548278251388423</v>
      </c>
      <c r="I72" s="14">
        <v>0.86332896424826422</v>
      </c>
      <c r="J72" s="14">
        <v>0.81019455960776687</v>
      </c>
      <c r="K72" s="14">
        <v>0.83274349837763872</v>
      </c>
      <c r="L72" s="14">
        <v>0.80810414140507936</v>
      </c>
      <c r="M72" s="14">
        <v>0.84291327424865115</v>
      </c>
      <c r="N72" s="14">
        <v>0.88594044577189879</v>
      </c>
      <c r="P72">
        <f t="shared" si="6"/>
        <v>0</v>
      </c>
      <c r="Q72">
        <f t="shared" si="7"/>
        <v>0</v>
      </c>
      <c r="R72">
        <f t="shared" si="8"/>
        <v>0</v>
      </c>
      <c r="S72">
        <f t="shared" si="9"/>
        <v>0</v>
      </c>
      <c r="T72">
        <f t="shared" si="10"/>
        <v>1</v>
      </c>
      <c r="U72">
        <f t="shared" si="11"/>
        <v>0</v>
      </c>
      <c r="V72">
        <f t="shared" si="12"/>
        <v>0</v>
      </c>
      <c r="W72">
        <f t="shared" si="13"/>
        <v>0</v>
      </c>
      <c r="X72">
        <f t="shared" si="14"/>
        <v>0</v>
      </c>
      <c r="Y72">
        <f t="shared" si="15"/>
        <v>0</v>
      </c>
      <c r="Z72">
        <f t="shared" si="16"/>
        <v>0</v>
      </c>
      <c r="AA72">
        <f t="shared" si="17"/>
        <v>0</v>
      </c>
    </row>
    <row r="73" spans="2:27" x14ac:dyDescent="0.25">
      <c r="B73" s="19" t="s">
        <v>88</v>
      </c>
      <c r="C73" s="14">
        <v>0.71239847402493151</v>
      </c>
      <c r="D73" s="14">
        <v>0.77028124264062481</v>
      </c>
      <c r="E73" s="14">
        <v>0.76901740266167307</v>
      </c>
      <c r="F73" s="14">
        <v>0.75804446991553642</v>
      </c>
      <c r="G73" s="14">
        <v>0.79964400661262136</v>
      </c>
      <c r="H73" s="14">
        <v>0.79526159142928865</v>
      </c>
      <c r="I73" s="14">
        <v>0.75699762219884681</v>
      </c>
      <c r="J73" s="14">
        <v>0.75391436461827133</v>
      </c>
      <c r="K73" s="14">
        <v>0.82461837085166134</v>
      </c>
      <c r="L73" s="14">
        <v>0.82387113127654776</v>
      </c>
      <c r="M73" s="14">
        <v>0.7670468384554685</v>
      </c>
      <c r="N73" s="15">
        <v>0.85714611725192602</v>
      </c>
      <c r="P73">
        <f t="shared" si="6"/>
        <v>0</v>
      </c>
      <c r="Q73">
        <f t="shared" si="7"/>
        <v>0</v>
      </c>
      <c r="R73">
        <f t="shared" si="8"/>
        <v>0</v>
      </c>
      <c r="S73">
        <f t="shared" si="9"/>
        <v>0</v>
      </c>
      <c r="T73">
        <f t="shared" si="10"/>
        <v>0</v>
      </c>
      <c r="U73">
        <f t="shared" si="11"/>
        <v>0</v>
      </c>
      <c r="V73">
        <f t="shared" si="12"/>
        <v>0</v>
      </c>
      <c r="W73">
        <f t="shared" si="13"/>
        <v>0</v>
      </c>
      <c r="X73">
        <f t="shared" si="14"/>
        <v>0</v>
      </c>
      <c r="Y73">
        <f t="shared" si="15"/>
        <v>0</v>
      </c>
      <c r="Z73">
        <f t="shared" si="16"/>
        <v>0</v>
      </c>
      <c r="AA73">
        <f t="shared" si="17"/>
        <v>1</v>
      </c>
    </row>
    <row r="74" spans="2:27" x14ac:dyDescent="0.25">
      <c r="B74" s="19" t="s">
        <v>90</v>
      </c>
      <c r="C74" s="14">
        <v>0.8281732118845555</v>
      </c>
      <c r="D74" s="14">
        <v>0.86348784125160905</v>
      </c>
      <c r="E74" s="14">
        <v>0.88581012926623837</v>
      </c>
      <c r="F74" s="14">
        <v>0.87987914059990191</v>
      </c>
      <c r="G74" s="14">
        <v>0.90124725013815543</v>
      </c>
      <c r="H74" s="14">
        <v>0.89761615657175342</v>
      </c>
      <c r="I74" s="15">
        <v>0.9018575900974094</v>
      </c>
      <c r="J74" s="14">
        <v>0.84633468238080767</v>
      </c>
      <c r="K74" s="14">
        <v>0.86580226997231535</v>
      </c>
      <c r="L74" s="14">
        <v>0.81665827524923695</v>
      </c>
      <c r="M74" s="14">
        <v>0.88231491553326213</v>
      </c>
      <c r="N74" s="14">
        <v>0.88671484821181168</v>
      </c>
      <c r="P74">
        <f t="shared" si="6"/>
        <v>0</v>
      </c>
      <c r="Q74">
        <f t="shared" si="7"/>
        <v>0</v>
      </c>
      <c r="R74">
        <f t="shared" si="8"/>
        <v>0</v>
      </c>
      <c r="S74">
        <f t="shared" si="9"/>
        <v>0</v>
      </c>
      <c r="T74">
        <f t="shared" si="10"/>
        <v>0</v>
      </c>
      <c r="U74">
        <f t="shared" si="11"/>
        <v>0</v>
      </c>
      <c r="V74">
        <f t="shared" si="12"/>
        <v>1</v>
      </c>
      <c r="W74">
        <f t="shared" si="13"/>
        <v>0</v>
      </c>
      <c r="X74">
        <f t="shared" si="14"/>
        <v>0</v>
      </c>
      <c r="Y74">
        <f t="shared" si="15"/>
        <v>0</v>
      </c>
      <c r="Z74">
        <f t="shared" si="16"/>
        <v>0</v>
      </c>
      <c r="AA74">
        <f t="shared" si="17"/>
        <v>0</v>
      </c>
    </row>
    <row r="75" spans="2:27" x14ac:dyDescent="0.25">
      <c r="B75" s="19" t="s">
        <v>92</v>
      </c>
      <c r="C75" s="14">
        <v>0.86011539401427528</v>
      </c>
      <c r="D75" s="15">
        <v>0.88567578585328799</v>
      </c>
      <c r="E75" s="14">
        <v>0.86542450700173745</v>
      </c>
      <c r="F75" s="14">
        <v>0.86217054086827161</v>
      </c>
      <c r="G75" s="14">
        <v>0.86636865716608669</v>
      </c>
      <c r="H75" s="14">
        <v>0.86940028030927641</v>
      </c>
      <c r="I75" s="14">
        <v>0.86397877979384796</v>
      </c>
      <c r="J75" s="14">
        <v>0.86352530899722546</v>
      </c>
      <c r="K75" s="14">
        <v>0.86772241458054433</v>
      </c>
      <c r="L75" s="14">
        <v>0.86568637600221821</v>
      </c>
      <c r="M75" s="14">
        <v>0.8682321511928538</v>
      </c>
      <c r="N75" s="14">
        <v>0.8758063578255797</v>
      </c>
      <c r="P75">
        <f t="shared" si="6"/>
        <v>0</v>
      </c>
      <c r="Q75">
        <f t="shared" si="7"/>
        <v>1</v>
      </c>
      <c r="R75">
        <f t="shared" si="8"/>
        <v>0</v>
      </c>
      <c r="S75">
        <f t="shared" si="9"/>
        <v>0</v>
      </c>
      <c r="T75">
        <f t="shared" si="10"/>
        <v>0</v>
      </c>
      <c r="U75">
        <f t="shared" si="11"/>
        <v>0</v>
      </c>
      <c r="V75">
        <f t="shared" si="12"/>
        <v>0</v>
      </c>
      <c r="W75">
        <f t="shared" si="13"/>
        <v>0</v>
      </c>
      <c r="X75">
        <f t="shared" si="14"/>
        <v>0</v>
      </c>
      <c r="Y75">
        <f t="shared" si="15"/>
        <v>0</v>
      </c>
      <c r="Z75">
        <f t="shared" si="16"/>
        <v>0</v>
      </c>
      <c r="AA75">
        <f t="shared" si="17"/>
        <v>0</v>
      </c>
    </row>
    <row r="76" spans="2:27" x14ac:dyDescent="0.25">
      <c r="B76" s="19" t="s">
        <v>94</v>
      </c>
      <c r="C76" s="15">
        <v>0.80503369260601287</v>
      </c>
      <c r="D76" s="14">
        <v>0.79631107793246714</v>
      </c>
      <c r="E76" s="14">
        <v>0.80264314319837438</v>
      </c>
      <c r="F76" s="14">
        <v>0.79753238653902125</v>
      </c>
      <c r="G76" s="14">
        <v>0.79572259379299726</v>
      </c>
      <c r="H76" s="14">
        <v>0.76247547515601222</v>
      </c>
      <c r="I76" s="14">
        <v>0.79364314864791463</v>
      </c>
      <c r="J76" s="14">
        <v>0.79571316170349493</v>
      </c>
      <c r="K76" s="14">
        <v>0.79903266441040288</v>
      </c>
      <c r="L76" s="14">
        <v>0.78706739295857397</v>
      </c>
      <c r="M76" s="14">
        <v>0.796165061158562</v>
      </c>
      <c r="N76" s="14">
        <v>0.79825095224592069</v>
      </c>
      <c r="P76">
        <f t="shared" si="6"/>
        <v>1</v>
      </c>
      <c r="Q76">
        <f t="shared" si="7"/>
        <v>0</v>
      </c>
      <c r="R76">
        <f t="shared" si="8"/>
        <v>0</v>
      </c>
      <c r="S76">
        <f t="shared" si="9"/>
        <v>0</v>
      </c>
      <c r="T76">
        <f t="shared" si="10"/>
        <v>0</v>
      </c>
      <c r="U76">
        <f t="shared" si="11"/>
        <v>0</v>
      </c>
      <c r="V76">
        <f t="shared" si="12"/>
        <v>0</v>
      </c>
      <c r="W76">
        <f t="shared" si="13"/>
        <v>0</v>
      </c>
      <c r="X76">
        <f t="shared" si="14"/>
        <v>0</v>
      </c>
      <c r="Y76">
        <f t="shared" si="15"/>
        <v>0</v>
      </c>
      <c r="Z76">
        <f t="shared" si="16"/>
        <v>0</v>
      </c>
      <c r="AA76">
        <f t="shared" si="17"/>
        <v>0</v>
      </c>
    </row>
    <row r="77" spans="2:27" x14ac:dyDescent="0.25">
      <c r="B77" s="19" t="s">
        <v>96</v>
      </c>
      <c r="C77" s="14">
        <v>0.94304566394681999</v>
      </c>
      <c r="D77" s="14">
        <v>0.94869638172944493</v>
      </c>
      <c r="E77" s="14">
        <v>0.95115722523807644</v>
      </c>
      <c r="F77" s="14">
        <v>0.95292878372600387</v>
      </c>
      <c r="G77" s="14">
        <v>0.95296702122619936</v>
      </c>
      <c r="H77" s="14">
        <v>0.95227124161595578</v>
      </c>
      <c r="I77" s="14">
        <v>0.94804443365462709</v>
      </c>
      <c r="J77" s="14">
        <v>0.94420818151990316</v>
      </c>
      <c r="K77" s="14">
        <v>0.9451605499492326</v>
      </c>
      <c r="L77" s="14">
        <v>0.95032617626963223</v>
      </c>
      <c r="M77" s="14">
        <v>0.94467518255750171</v>
      </c>
      <c r="N77" s="15">
        <v>0.95756663389701724</v>
      </c>
      <c r="P77">
        <f t="shared" si="6"/>
        <v>0</v>
      </c>
      <c r="Q77">
        <f t="shared" si="7"/>
        <v>0</v>
      </c>
      <c r="R77">
        <f t="shared" si="8"/>
        <v>0</v>
      </c>
      <c r="S77">
        <f t="shared" si="9"/>
        <v>0</v>
      </c>
      <c r="T77">
        <f t="shared" si="10"/>
        <v>0</v>
      </c>
      <c r="U77">
        <f t="shared" si="11"/>
        <v>0</v>
      </c>
      <c r="V77">
        <f t="shared" si="12"/>
        <v>0</v>
      </c>
      <c r="W77">
        <f t="shared" si="13"/>
        <v>0</v>
      </c>
      <c r="X77">
        <f t="shared" si="14"/>
        <v>0</v>
      </c>
      <c r="Y77">
        <f t="shared" si="15"/>
        <v>0</v>
      </c>
      <c r="Z77">
        <f t="shared" si="16"/>
        <v>0</v>
      </c>
      <c r="AA77">
        <f t="shared" si="17"/>
        <v>1</v>
      </c>
    </row>
    <row r="78" spans="2:27" x14ac:dyDescent="0.25">
      <c r="B78" s="19" t="s">
        <v>98</v>
      </c>
      <c r="C78" s="14">
        <v>0.68350628748167852</v>
      </c>
      <c r="D78" s="14">
        <v>0.72535581466361221</v>
      </c>
      <c r="E78" s="14">
        <v>0.72819158540328455</v>
      </c>
      <c r="F78" s="14">
        <v>0.73488916778699653</v>
      </c>
      <c r="G78" s="14">
        <v>0.73613385594850089</v>
      </c>
      <c r="H78" s="14">
        <v>0.76606872258249337</v>
      </c>
      <c r="I78" s="14">
        <v>0.76357901205718515</v>
      </c>
      <c r="J78" s="14">
        <v>0.72159180814381385</v>
      </c>
      <c r="K78" s="14">
        <v>0.76050318314933607</v>
      </c>
      <c r="L78" s="14">
        <v>0.75550064673874018</v>
      </c>
      <c r="M78" s="14">
        <v>0.73717250141129576</v>
      </c>
      <c r="N78" s="15">
        <v>0.77427680508188157</v>
      </c>
      <c r="P78">
        <f t="shared" si="6"/>
        <v>0</v>
      </c>
      <c r="Q78">
        <f t="shared" si="7"/>
        <v>0</v>
      </c>
      <c r="R78">
        <f t="shared" si="8"/>
        <v>0</v>
      </c>
      <c r="S78">
        <f t="shared" si="9"/>
        <v>0</v>
      </c>
      <c r="T78">
        <f t="shared" si="10"/>
        <v>0</v>
      </c>
      <c r="U78">
        <f t="shared" si="11"/>
        <v>0</v>
      </c>
      <c r="V78">
        <f t="shared" si="12"/>
        <v>0</v>
      </c>
      <c r="W78">
        <f t="shared" si="13"/>
        <v>0</v>
      </c>
      <c r="X78">
        <f t="shared" si="14"/>
        <v>0</v>
      </c>
      <c r="Y78">
        <f t="shared" si="15"/>
        <v>0</v>
      </c>
      <c r="Z78">
        <f t="shared" si="16"/>
        <v>0</v>
      </c>
      <c r="AA78">
        <f t="shared" si="17"/>
        <v>1</v>
      </c>
    </row>
    <row r="79" spans="2:27" x14ac:dyDescent="0.25">
      <c r="B79" s="19" t="s">
        <v>100</v>
      </c>
      <c r="C79" s="14">
        <v>0.78381570056778449</v>
      </c>
      <c r="D79" s="14">
        <v>0.80017580648803133</v>
      </c>
      <c r="E79" s="14">
        <v>0.78771896370504846</v>
      </c>
      <c r="F79" s="14">
        <v>0.79155769346749727</v>
      </c>
      <c r="G79" s="14">
        <v>0.79930590640162713</v>
      </c>
      <c r="H79" s="15">
        <v>0.80512877326545773</v>
      </c>
      <c r="I79" s="14">
        <v>0.78793127714397759</v>
      </c>
      <c r="J79" s="14">
        <v>0.78995061965852842</v>
      </c>
      <c r="K79" s="14">
        <v>0.78816510092374004</v>
      </c>
      <c r="L79" s="14">
        <v>0.79411349597590142</v>
      </c>
      <c r="M79" s="14">
        <v>0.78832224728936484</v>
      </c>
      <c r="N79" s="14">
        <v>0.79494246671000035</v>
      </c>
      <c r="P79">
        <f t="shared" si="6"/>
        <v>0</v>
      </c>
      <c r="Q79">
        <f t="shared" si="7"/>
        <v>0</v>
      </c>
      <c r="R79">
        <f t="shared" si="8"/>
        <v>0</v>
      </c>
      <c r="S79">
        <f t="shared" si="9"/>
        <v>0</v>
      </c>
      <c r="T79">
        <f t="shared" si="10"/>
        <v>0</v>
      </c>
      <c r="U79">
        <f t="shared" si="11"/>
        <v>1</v>
      </c>
      <c r="V79">
        <f t="shared" si="12"/>
        <v>0</v>
      </c>
      <c r="W79">
        <f t="shared" si="13"/>
        <v>0</v>
      </c>
      <c r="X79">
        <f t="shared" si="14"/>
        <v>0</v>
      </c>
      <c r="Y79">
        <f t="shared" si="15"/>
        <v>0</v>
      </c>
      <c r="Z79">
        <f t="shared" si="16"/>
        <v>0</v>
      </c>
      <c r="AA79">
        <f t="shared" si="17"/>
        <v>0</v>
      </c>
    </row>
    <row r="80" spans="2:27" x14ac:dyDescent="0.25">
      <c r="B80" s="19" t="s">
        <v>102</v>
      </c>
      <c r="C80" s="14">
        <v>0.90100621177245821</v>
      </c>
      <c r="D80" s="14">
        <v>0.89016195724299818</v>
      </c>
      <c r="E80" s="14">
        <v>0.89130433263712905</v>
      </c>
      <c r="F80" s="14">
        <v>0.89849913816105553</v>
      </c>
      <c r="G80" s="15">
        <v>0.90178725029636997</v>
      </c>
      <c r="H80" s="14">
        <v>0.90049501800482457</v>
      </c>
      <c r="I80" s="14">
        <v>0.88798780700648261</v>
      </c>
      <c r="J80" s="14">
        <v>0.8979858548223778</v>
      </c>
      <c r="K80" s="14">
        <v>0.88484780755451398</v>
      </c>
      <c r="L80" s="14">
        <v>0.87880929437262867</v>
      </c>
      <c r="M80" s="14">
        <v>0.8758106801288541</v>
      </c>
      <c r="N80" s="14">
        <v>0.90105928182899397</v>
      </c>
      <c r="P80">
        <f t="shared" si="6"/>
        <v>0</v>
      </c>
      <c r="Q80">
        <f t="shared" si="7"/>
        <v>0</v>
      </c>
      <c r="R80">
        <f t="shared" si="8"/>
        <v>0</v>
      </c>
      <c r="S80">
        <f t="shared" si="9"/>
        <v>0</v>
      </c>
      <c r="T80">
        <f t="shared" si="10"/>
        <v>1</v>
      </c>
      <c r="U80">
        <f t="shared" si="11"/>
        <v>0</v>
      </c>
      <c r="V80">
        <f t="shared" si="12"/>
        <v>0</v>
      </c>
      <c r="W80">
        <f t="shared" si="13"/>
        <v>0</v>
      </c>
      <c r="X80">
        <f t="shared" si="14"/>
        <v>0</v>
      </c>
      <c r="Y80">
        <f t="shared" si="15"/>
        <v>0</v>
      </c>
      <c r="Z80">
        <f t="shared" si="16"/>
        <v>0</v>
      </c>
      <c r="AA80">
        <f t="shared" si="17"/>
        <v>0</v>
      </c>
    </row>
    <row r="81" spans="2:27" x14ac:dyDescent="0.25">
      <c r="B81" s="19" t="s">
        <v>104</v>
      </c>
      <c r="C81" s="14">
        <v>0.91053033687467344</v>
      </c>
      <c r="D81" s="14">
        <v>0.93568964210146188</v>
      </c>
      <c r="E81" s="14">
        <v>0.93793616710572059</v>
      </c>
      <c r="F81" s="15">
        <v>0.93932001539361087</v>
      </c>
      <c r="G81" s="14">
        <v>0.92205146940249172</v>
      </c>
      <c r="H81" s="14">
        <v>0.9372817246752525</v>
      </c>
      <c r="I81" s="14">
        <v>0.9338855752965054</v>
      </c>
      <c r="J81" s="14">
        <v>0.91877377595417287</v>
      </c>
      <c r="K81" s="14">
        <v>0.93553816017993685</v>
      </c>
      <c r="L81" s="14">
        <v>0.93415906417135919</v>
      </c>
      <c r="M81" s="14">
        <v>0.9282352458890657</v>
      </c>
      <c r="N81" s="14">
        <v>0.93631441258424053</v>
      </c>
      <c r="P81">
        <f t="shared" si="6"/>
        <v>0</v>
      </c>
      <c r="Q81">
        <f t="shared" si="7"/>
        <v>0</v>
      </c>
      <c r="R81">
        <f t="shared" si="8"/>
        <v>0</v>
      </c>
      <c r="S81">
        <f t="shared" si="9"/>
        <v>1</v>
      </c>
      <c r="T81">
        <f t="shared" si="10"/>
        <v>0</v>
      </c>
      <c r="U81">
        <f t="shared" si="11"/>
        <v>0</v>
      </c>
      <c r="V81">
        <f t="shared" si="12"/>
        <v>0</v>
      </c>
      <c r="W81">
        <f t="shared" si="13"/>
        <v>0</v>
      </c>
      <c r="X81">
        <f t="shared" si="14"/>
        <v>0</v>
      </c>
      <c r="Y81">
        <f t="shared" si="15"/>
        <v>0</v>
      </c>
      <c r="Z81">
        <f t="shared" si="16"/>
        <v>0</v>
      </c>
      <c r="AA81">
        <f t="shared" si="17"/>
        <v>0</v>
      </c>
    </row>
    <row r="82" spans="2:27" x14ac:dyDescent="0.25">
      <c r="B82" s="19" t="s">
        <v>106</v>
      </c>
      <c r="C82" s="14">
        <v>0.92885087850003689</v>
      </c>
      <c r="D82" s="14">
        <v>0.9304278317671606</v>
      </c>
      <c r="E82" s="14">
        <v>0.92901433021385849</v>
      </c>
      <c r="F82" s="14">
        <v>0.93161517441101405</v>
      </c>
      <c r="G82" s="15">
        <v>0.93352129019631225</v>
      </c>
      <c r="H82" s="14">
        <v>0.93287562880592689</v>
      </c>
      <c r="I82" s="14">
        <v>0.93006694946415591</v>
      </c>
      <c r="J82" s="14">
        <v>0.91788670752678136</v>
      </c>
      <c r="K82" s="14">
        <v>0.92508737917700412</v>
      </c>
      <c r="L82" s="14">
        <v>0.92940254414886181</v>
      </c>
      <c r="M82" s="14">
        <v>0.92988836003614339</v>
      </c>
      <c r="N82" s="14">
        <v>0.92841851798652142</v>
      </c>
      <c r="P82">
        <f t="shared" si="6"/>
        <v>0</v>
      </c>
      <c r="Q82">
        <f t="shared" si="7"/>
        <v>0</v>
      </c>
      <c r="R82">
        <f t="shared" si="8"/>
        <v>0</v>
      </c>
      <c r="S82">
        <f t="shared" si="9"/>
        <v>0</v>
      </c>
      <c r="T82">
        <f t="shared" si="10"/>
        <v>1</v>
      </c>
      <c r="U82">
        <f t="shared" si="11"/>
        <v>0</v>
      </c>
      <c r="V82">
        <f t="shared" si="12"/>
        <v>0</v>
      </c>
      <c r="W82">
        <f t="shared" si="13"/>
        <v>0</v>
      </c>
      <c r="X82">
        <f t="shared" si="14"/>
        <v>0</v>
      </c>
      <c r="Y82">
        <f t="shared" si="15"/>
        <v>0</v>
      </c>
      <c r="Z82">
        <f t="shared" si="16"/>
        <v>0</v>
      </c>
      <c r="AA82">
        <f t="shared" si="17"/>
        <v>0</v>
      </c>
    </row>
    <row r="83" spans="2:27" x14ac:dyDescent="0.25">
      <c r="B83" s="19" t="s">
        <v>108</v>
      </c>
      <c r="C83" s="14">
        <v>0.96659330562967072</v>
      </c>
      <c r="D83" s="14">
        <v>0.97946802806181354</v>
      </c>
      <c r="E83" s="14">
        <v>0.97726220094690208</v>
      </c>
      <c r="F83" s="15">
        <v>0.98913737728504958</v>
      </c>
      <c r="G83" s="14">
        <v>0.97358264632946923</v>
      </c>
      <c r="H83" s="14">
        <v>0.97972329547555559</v>
      </c>
      <c r="I83" s="14">
        <v>0.98411188048319698</v>
      </c>
      <c r="J83" s="14">
        <v>0.96367662166034285</v>
      </c>
      <c r="K83" s="14">
        <v>0.97428508476892683</v>
      </c>
      <c r="L83" s="14">
        <v>0.96560384763829421</v>
      </c>
      <c r="M83" s="14">
        <v>0.97259669290522521</v>
      </c>
      <c r="N83" s="14">
        <v>0.97326104759484044</v>
      </c>
      <c r="P83">
        <f t="shared" si="6"/>
        <v>0</v>
      </c>
      <c r="Q83">
        <f t="shared" si="7"/>
        <v>0</v>
      </c>
      <c r="R83">
        <f t="shared" si="8"/>
        <v>0</v>
      </c>
      <c r="S83">
        <f t="shared" si="9"/>
        <v>1</v>
      </c>
      <c r="T83">
        <f t="shared" si="10"/>
        <v>0</v>
      </c>
      <c r="U83">
        <f t="shared" si="11"/>
        <v>0</v>
      </c>
      <c r="V83">
        <f t="shared" si="12"/>
        <v>0</v>
      </c>
      <c r="W83">
        <f t="shared" si="13"/>
        <v>0</v>
      </c>
      <c r="X83">
        <f t="shared" si="14"/>
        <v>0</v>
      </c>
      <c r="Y83">
        <f t="shared" si="15"/>
        <v>0</v>
      </c>
      <c r="Z83">
        <f t="shared" si="16"/>
        <v>0</v>
      </c>
      <c r="AA83">
        <f t="shared" si="17"/>
        <v>0</v>
      </c>
    </row>
    <row r="84" spans="2:27" x14ac:dyDescent="0.25">
      <c r="B84" s="19" t="s">
        <v>110</v>
      </c>
      <c r="C84" s="14">
        <v>0.76818420461579928</v>
      </c>
      <c r="D84" s="14">
        <v>0.89584239363519591</v>
      </c>
      <c r="E84" s="14">
        <v>0.88560610365051529</v>
      </c>
      <c r="F84" s="14">
        <v>0.89739926430139783</v>
      </c>
      <c r="G84" s="14">
        <v>0.92463142085486649</v>
      </c>
      <c r="H84" s="14">
        <v>0.89952309671635744</v>
      </c>
      <c r="I84" s="14">
        <v>0.90853585314800234</v>
      </c>
      <c r="J84" s="14">
        <v>0.86639844621258455</v>
      </c>
      <c r="K84" s="14">
        <v>0.87929175591973396</v>
      </c>
      <c r="L84" s="14">
        <v>0.8763367629739689</v>
      </c>
      <c r="M84" s="14">
        <v>0.83470010634606928</v>
      </c>
      <c r="N84" s="15">
        <v>0.92665097251507744</v>
      </c>
      <c r="P84">
        <f t="shared" si="6"/>
        <v>0</v>
      </c>
      <c r="Q84">
        <f t="shared" si="7"/>
        <v>0</v>
      </c>
      <c r="R84">
        <f t="shared" si="8"/>
        <v>0</v>
      </c>
      <c r="S84">
        <f t="shared" si="9"/>
        <v>0</v>
      </c>
      <c r="T84">
        <f t="shared" si="10"/>
        <v>0</v>
      </c>
      <c r="U84">
        <f t="shared" si="11"/>
        <v>0</v>
      </c>
      <c r="V84">
        <f t="shared" si="12"/>
        <v>0</v>
      </c>
      <c r="W84">
        <f t="shared" si="13"/>
        <v>0</v>
      </c>
      <c r="X84">
        <f t="shared" si="14"/>
        <v>0</v>
      </c>
      <c r="Y84">
        <f t="shared" si="15"/>
        <v>0</v>
      </c>
      <c r="Z84">
        <f t="shared" si="16"/>
        <v>0</v>
      </c>
      <c r="AA84">
        <f t="shared" si="17"/>
        <v>1</v>
      </c>
    </row>
    <row r="85" spans="2:27" x14ac:dyDescent="0.25">
      <c r="B85" s="19" t="s">
        <v>112</v>
      </c>
      <c r="C85" s="14">
        <v>0.32428005660312698</v>
      </c>
      <c r="D85" s="15">
        <v>0.7392607038364245</v>
      </c>
      <c r="E85" s="14">
        <v>0.67392224526870714</v>
      </c>
      <c r="F85" s="14">
        <v>0.44766467925825815</v>
      </c>
      <c r="G85" s="14">
        <v>0.56883397482476317</v>
      </c>
      <c r="H85" s="14">
        <v>0.68735892488686245</v>
      </c>
      <c r="I85" s="14">
        <v>0.62426385925728867</v>
      </c>
      <c r="J85" s="14">
        <v>0.46746205174583938</v>
      </c>
      <c r="K85" s="14">
        <v>0.69558127078423881</v>
      </c>
      <c r="L85" s="14">
        <v>0.72139701712072601</v>
      </c>
      <c r="M85" s="14">
        <v>0.61066467589285645</v>
      </c>
      <c r="N85" s="14">
        <v>0.71259806664877767</v>
      </c>
      <c r="P85">
        <f t="shared" si="6"/>
        <v>0</v>
      </c>
      <c r="Q85">
        <f t="shared" si="7"/>
        <v>1</v>
      </c>
      <c r="R85">
        <f t="shared" si="8"/>
        <v>0</v>
      </c>
      <c r="S85">
        <f t="shared" si="9"/>
        <v>0</v>
      </c>
      <c r="T85">
        <f t="shared" si="10"/>
        <v>0</v>
      </c>
      <c r="U85">
        <f t="shared" si="11"/>
        <v>0</v>
      </c>
      <c r="V85">
        <f t="shared" si="12"/>
        <v>0</v>
      </c>
      <c r="W85">
        <f t="shared" si="13"/>
        <v>0</v>
      </c>
      <c r="X85">
        <f t="shared" si="14"/>
        <v>0</v>
      </c>
      <c r="Y85">
        <f t="shared" si="15"/>
        <v>0</v>
      </c>
      <c r="Z85">
        <f t="shared" si="16"/>
        <v>0</v>
      </c>
      <c r="AA85">
        <f t="shared" si="17"/>
        <v>0</v>
      </c>
    </row>
    <row r="86" spans="2:27" x14ac:dyDescent="0.25">
      <c r="B86" s="19" t="s">
        <v>114</v>
      </c>
      <c r="C86" s="14">
        <v>0.50419190130909675</v>
      </c>
      <c r="D86" s="14">
        <v>0.75765734208734636</v>
      </c>
      <c r="E86" s="14">
        <v>0.74985590820832404</v>
      </c>
      <c r="F86" s="14">
        <v>0.70163319680912961</v>
      </c>
      <c r="G86" s="14">
        <v>0.6637761694108042</v>
      </c>
      <c r="H86" s="14">
        <v>0.75334980172370936</v>
      </c>
      <c r="I86" s="14">
        <v>0.72662185416432534</v>
      </c>
      <c r="J86" s="14">
        <v>0.62227316717304826</v>
      </c>
      <c r="K86" s="14">
        <v>0.72468209939383588</v>
      </c>
      <c r="L86" s="15">
        <v>0.76208607590643496</v>
      </c>
      <c r="M86" s="14">
        <v>0.68141769185456436</v>
      </c>
      <c r="N86" s="14">
        <v>0.74817113134099045</v>
      </c>
      <c r="P86">
        <f t="shared" si="6"/>
        <v>0</v>
      </c>
      <c r="Q86">
        <f t="shared" si="7"/>
        <v>0</v>
      </c>
      <c r="R86">
        <f t="shared" si="8"/>
        <v>0</v>
      </c>
      <c r="S86">
        <f t="shared" si="9"/>
        <v>0</v>
      </c>
      <c r="T86">
        <f t="shared" si="10"/>
        <v>0</v>
      </c>
      <c r="U86">
        <f t="shared" si="11"/>
        <v>0</v>
      </c>
      <c r="V86">
        <f t="shared" si="12"/>
        <v>0</v>
      </c>
      <c r="W86">
        <f t="shared" si="13"/>
        <v>0</v>
      </c>
      <c r="X86">
        <f t="shared" si="14"/>
        <v>0</v>
      </c>
      <c r="Y86">
        <f t="shared" si="15"/>
        <v>1</v>
      </c>
      <c r="Z86">
        <f t="shared" si="16"/>
        <v>0</v>
      </c>
      <c r="AA86">
        <f t="shared" si="17"/>
        <v>0</v>
      </c>
    </row>
    <row r="87" spans="2:27" x14ac:dyDescent="0.25">
      <c r="B87" s="19" t="s">
        <v>116</v>
      </c>
      <c r="C87" s="14">
        <v>0.57608112341366535</v>
      </c>
      <c r="D87" s="14">
        <v>0.60786421481186903</v>
      </c>
      <c r="E87" s="14">
        <v>0.61940398761972137</v>
      </c>
      <c r="F87" s="14">
        <v>0.60870916951967213</v>
      </c>
      <c r="G87" s="14">
        <v>0.59996936794718647</v>
      </c>
      <c r="H87" s="14">
        <v>0.58669040205165268</v>
      </c>
      <c r="I87" s="15">
        <v>0.62082323729041655</v>
      </c>
      <c r="J87" s="14">
        <v>0.60865981660707269</v>
      </c>
      <c r="K87" s="14">
        <v>0.60824129687776052</v>
      </c>
      <c r="L87" s="14">
        <v>0.60237843790541978</v>
      </c>
      <c r="M87" s="14">
        <v>0.60558766391721819</v>
      </c>
      <c r="N87" s="14">
        <v>0.61969745209060489</v>
      </c>
      <c r="P87">
        <f t="shared" si="6"/>
        <v>0</v>
      </c>
      <c r="Q87">
        <f t="shared" si="7"/>
        <v>0</v>
      </c>
      <c r="R87">
        <f t="shared" si="8"/>
        <v>0</v>
      </c>
      <c r="S87">
        <f t="shared" si="9"/>
        <v>0</v>
      </c>
      <c r="T87">
        <f t="shared" si="10"/>
        <v>0</v>
      </c>
      <c r="U87">
        <f t="shared" si="11"/>
        <v>0</v>
      </c>
      <c r="V87">
        <f t="shared" si="12"/>
        <v>1</v>
      </c>
      <c r="W87">
        <f t="shared" si="13"/>
        <v>0</v>
      </c>
      <c r="X87">
        <f t="shared" si="14"/>
        <v>0</v>
      </c>
      <c r="Y87">
        <f t="shared" si="15"/>
        <v>0</v>
      </c>
      <c r="Z87">
        <f t="shared" si="16"/>
        <v>0</v>
      </c>
      <c r="AA87">
        <f t="shared" si="17"/>
        <v>0</v>
      </c>
    </row>
    <row r="88" spans="2:27" x14ac:dyDescent="0.25">
      <c r="B88" s="19" t="s">
        <v>118</v>
      </c>
      <c r="C88" s="14">
        <v>1.3444147982851125E-2</v>
      </c>
      <c r="D88" s="14">
        <v>0.36480474217816089</v>
      </c>
      <c r="E88" s="14">
        <v>0.44466287623111572</v>
      </c>
      <c r="F88" s="14">
        <v>0.28721702932757726</v>
      </c>
      <c r="G88" s="14">
        <v>2.0476366412653425E-2</v>
      </c>
      <c r="H88" s="14">
        <v>0.37446180371372562</v>
      </c>
      <c r="I88" s="14">
        <v>0.31343289738639402</v>
      </c>
      <c r="J88" s="14">
        <v>0.27796632648419428</v>
      </c>
      <c r="K88" s="14">
        <v>0.33988472890243776</v>
      </c>
      <c r="L88" s="15">
        <v>0.58845049241845715</v>
      </c>
      <c r="M88" s="14">
        <v>0.13287082131005779</v>
      </c>
      <c r="N88" s="14">
        <v>0.39438553651901354</v>
      </c>
      <c r="P88">
        <f t="shared" si="6"/>
        <v>0</v>
      </c>
      <c r="Q88">
        <f t="shared" si="7"/>
        <v>0</v>
      </c>
      <c r="R88">
        <f t="shared" si="8"/>
        <v>0</v>
      </c>
      <c r="S88">
        <f t="shared" si="9"/>
        <v>0</v>
      </c>
      <c r="T88">
        <f t="shared" si="10"/>
        <v>0</v>
      </c>
      <c r="U88">
        <f t="shared" si="11"/>
        <v>0</v>
      </c>
      <c r="V88">
        <f t="shared" si="12"/>
        <v>0</v>
      </c>
      <c r="W88">
        <f t="shared" si="13"/>
        <v>0</v>
      </c>
      <c r="X88">
        <f t="shared" si="14"/>
        <v>0</v>
      </c>
      <c r="Y88">
        <f t="shared" si="15"/>
        <v>1</v>
      </c>
      <c r="Z88">
        <f t="shared" si="16"/>
        <v>0</v>
      </c>
      <c r="AA88">
        <f t="shared" si="17"/>
        <v>0</v>
      </c>
    </row>
    <row r="89" spans="2:27" x14ac:dyDescent="0.25">
      <c r="B89" s="19" t="s">
        <v>120</v>
      </c>
      <c r="C89" s="14">
        <v>0.64193120747414034</v>
      </c>
      <c r="D89" s="14">
        <v>0.70280360834937405</v>
      </c>
      <c r="E89" s="14">
        <v>0.7074143950309687</v>
      </c>
      <c r="F89" s="14">
        <v>0.75505966507316025</v>
      </c>
      <c r="G89" s="14">
        <v>0.75796111363792196</v>
      </c>
      <c r="H89" s="14">
        <v>0.72614673814511399</v>
      </c>
      <c r="I89" s="14">
        <v>0.74156072511196458</v>
      </c>
      <c r="J89" s="14">
        <v>0.62009655556100007</v>
      </c>
      <c r="K89" s="14">
        <v>0.69312839732862752</v>
      </c>
      <c r="L89" s="14">
        <v>0.62008665004620178</v>
      </c>
      <c r="M89" s="14">
        <v>0.65504728538334811</v>
      </c>
      <c r="N89" s="15">
        <v>0.78806444528544106</v>
      </c>
      <c r="P89">
        <f t="shared" si="6"/>
        <v>0</v>
      </c>
      <c r="Q89">
        <f t="shared" si="7"/>
        <v>0</v>
      </c>
      <c r="R89">
        <f t="shared" si="8"/>
        <v>0</v>
      </c>
      <c r="S89">
        <f t="shared" si="9"/>
        <v>0</v>
      </c>
      <c r="T89">
        <f t="shared" si="10"/>
        <v>0</v>
      </c>
      <c r="U89">
        <f t="shared" si="11"/>
        <v>0</v>
      </c>
      <c r="V89">
        <f t="shared" si="12"/>
        <v>0</v>
      </c>
      <c r="W89">
        <f t="shared" si="13"/>
        <v>0</v>
      </c>
      <c r="X89">
        <f t="shared" si="14"/>
        <v>0</v>
      </c>
      <c r="Y89">
        <f t="shared" si="15"/>
        <v>0</v>
      </c>
      <c r="Z89">
        <f t="shared" si="16"/>
        <v>0</v>
      </c>
      <c r="AA89">
        <f t="shared" si="17"/>
        <v>1</v>
      </c>
    </row>
    <row r="90" spans="2:27" x14ac:dyDescent="0.25">
      <c r="B90" s="19" t="s">
        <v>122</v>
      </c>
      <c r="C90" s="14">
        <v>0.98004946101229862</v>
      </c>
      <c r="D90" s="14">
        <v>0.99948582332312874</v>
      </c>
      <c r="E90" s="14">
        <v>0.99948582332312874</v>
      </c>
      <c r="F90" s="14">
        <v>0.99987179148263483</v>
      </c>
      <c r="G90" s="15">
        <v>1</v>
      </c>
      <c r="H90" s="14">
        <v>0.99871120193499707</v>
      </c>
      <c r="I90" s="14">
        <v>0.99974358296526977</v>
      </c>
      <c r="J90" s="14">
        <v>0.98004946101229862</v>
      </c>
      <c r="K90" s="14">
        <v>0.99961403184049391</v>
      </c>
      <c r="L90" s="14">
        <v>0.98004946101229862</v>
      </c>
      <c r="M90" s="14">
        <v>0.96362785099301917</v>
      </c>
      <c r="N90" s="14">
        <v>0.98383883476483192</v>
      </c>
      <c r="P90">
        <f t="shared" si="6"/>
        <v>0</v>
      </c>
      <c r="Q90">
        <f t="shared" si="7"/>
        <v>0</v>
      </c>
      <c r="R90">
        <f t="shared" si="8"/>
        <v>0</v>
      </c>
      <c r="S90">
        <f t="shared" si="9"/>
        <v>0</v>
      </c>
      <c r="T90">
        <f t="shared" si="10"/>
        <v>1</v>
      </c>
      <c r="U90">
        <f t="shared" si="11"/>
        <v>0</v>
      </c>
      <c r="V90">
        <f t="shared" si="12"/>
        <v>0</v>
      </c>
      <c r="W90">
        <f t="shared" si="13"/>
        <v>0</v>
      </c>
      <c r="X90">
        <f t="shared" si="14"/>
        <v>0</v>
      </c>
      <c r="Y90">
        <f t="shared" si="15"/>
        <v>0</v>
      </c>
      <c r="Z90">
        <f t="shared" si="16"/>
        <v>0</v>
      </c>
      <c r="AA90">
        <f t="shared" si="17"/>
        <v>0</v>
      </c>
    </row>
    <row r="91" spans="2:27" x14ac:dyDescent="0.25">
      <c r="B91" s="19" t="s">
        <v>124</v>
      </c>
      <c r="C91" s="14">
        <v>1.4433756729740625E-2</v>
      </c>
      <c r="D91" s="14">
        <v>0.35127858075310781</v>
      </c>
      <c r="E91" s="14">
        <v>0.41541547208588364</v>
      </c>
      <c r="F91" s="14">
        <v>0.22262387322397087</v>
      </c>
      <c r="G91" s="14">
        <v>0.15558707402920846</v>
      </c>
      <c r="H91" s="15">
        <v>0.42419979466115032</v>
      </c>
      <c r="I91" s="14">
        <v>0.26439432134751978</v>
      </c>
      <c r="J91" s="14">
        <v>0.17353371911830912</v>
      </c>
      <c r="K91" s="14">
        <v>0.12438744387061645</v>
      </c>
      <c r="L91" s="14">
        <v>0.35588837364417109</v>
      </c>
      <c r="M91" s="14">
        <v>4.7690464708007328E-2</v>
      </c>
      <c r="N91" s="14">
        <v>0.30472326096405877</v>
      </c>
      <c r="P91">
        <f t="shared" si="6"/>
        <v>0</v>
      </c>
      <c r="Q91">
        <f t="shared" si="7"/>
        <v>0</v>
      </c>
      <c r="R91">
        <f t="shared" si="8"/>
        <v>0</v>
      </c>
      <c r="S91">
        <f t="shared" si="9"/>
        <v>0</v>
      </c>
      <c r="T91">
        <f t="shared" si="10"/>
        <v>0</v>
      </c>
      <c r="U91">
        <f t="shared" si="11"/>
        <v>1</v>
      </c>
      <c r="V91">
        <f t="shared" si="12"/>
        <v>0</v>
      </c>
      <c r="W91">
        <f t="shared" si="13"/>
        <v>0</v>
      </c>
      <c r="X91">
        <f t="shared" si="14"/>
        <v>0</v>
      </c>
      <c r="Y91">
        <f t="shared" si="15"/>
        <v>0</v>
      </c>
      <c r="Z91">
        <f t="shared" si="16"/>
        <v>0</v>
      </c>
      <c r="AA91">
        <f t="shared" si="17"/>
        <v>0</v>
      </c>
    </row>
    <row r="92" spans="2:27" x14ac:dyDescent="0.25">
      <c r="B92" s="19" t="s">
        <v>126</v>
      </c>
      <c r="C92" s="14">
        <v>0.45712132144465323</v>
      </c>
      <c r="D92" s="14">
        <v>0.63430188308677915</v>
      </c>
      <c r="E92" s="14">
        <v>0.69818871367114532</v>
      </c>
      <c r="F92" s="14">
        <v>0.55783956283746228</v>
      </c>
      <c r="G92" s="14">
        <v>0.49057058736645925</v>
      </c>
      <c r="H92" s="14">
        <v>0.59389761977569533</v>
      </c>
      <c r="I92" s="14">
        <v>0.6174421315410823</v>
      </c>
      <c r="J92" s="14">
        <v>0.50130961257548157</v>
      </c>
      <c r="K92" s="14">
        <v>0.60219907198911471</v>
      </c>
      <c r="L92" s="15">
        <v>0.71525415308853324</v>
      </c>
      <c r="M92" s="14">
        <v>0.51834472828493638</v>
      </c>
      <c r="N92" s="14">
        <v>0.69092204369220889</v>
      </c>
      <c r="P92">
        <f t="shared" si="6"/>
        <v>0</v>
      </c>
      <c r="Q92">
        <f t="shared" si="7"/>
        <v>0</v>
      </c>
      <c r="R92">
        <f t="shared" si="8"/>
        <v>0</v>
      </c>
      <c r="S92">
        <f t="shared" si="9"/>
        <v>0</v>
      </c>
      <c r="T92">
        <f t="shared" si="10"/>
        <v>0</v>
      </c>
      <c r="U92">
        <f t="shared" si="11"/>
        <v>0</v>
      </c>
      <c r="V92">
        <f t="shared" si="12"/>
        <v>0</v>
      </c>
      <c r="W92">
        <f t="shared" si="13"/>
        <v>0</v>
      </c>
      <c r="X92">
        <f t="shared" si="14"/>
        <v>0</v>
      </c>
      <c r="Y92">
        <f t="shared" si="15"/>
        <v>1</v>
      </c>
      <c r="Z92">
        <f t="shared" si="16"/>
        <v>0</v>
      </c>
      <c r="AA92">
        <f t="shared" si="17"/>
        <v>0</v>
      </c>
    </row>
    <row r="93" spans="2:27" x14ac:dyDescent="0.25">
      <c r="B93" s="19" t="s">
        <v>128</v>
      </c>
      <c r="C93" s="14">
        <v>0.89394798291327038</v>
      </c>
      <c r="D93" s="14">
        <v>0.89805575904418333</v>
      </c>
      <c r="E93" s="14">
        <v>0.90287243198177225</v>
      </c>
      <c r="F93" s="14">
        <v>0.90683175338762478</v>
      </c>
      <c r="G93" s="14">
        <v>0.90757971065180965</v>
      </c>
      <c r="H93" s="14">
        <v>0.91878369783626912</v>
      </c>
      <c r="I93" s="14">
        <v>0.9115763479739416</v>
      </c>
      <c r="J93" s="14">
        <v>0.85409965963243906</v>
      </c>
      <c r="K93" s="14">
        <v>0.90752779702775266</v>
      </c>
      <c r="L93" s="14">
        <v>0.9171186220707368</v>
      </c>
      <c r="M93" s="14">
        <v>0.89864496851655917</v>
      </c>
      <c r="N93" s="15">
        <v>0.91947614150701362</v>
      </c>
      <c r="P93">
        <f t="shared" si="6"/>
        <v>0</v>
      </c>
      <c r="Q93">
        <f t="shared" si="7"/>
        <v>0</v>
      </c>
      <c r="R93">
        <f t="shared" si="8"/>
        <v>0</v>
      </c>
      <c r="S93">
        <f t="shared" si="9"/>
        <v>0</v>
      </c>
      <c r="T93">
        <f t="shared" si="10"/>
        <v>0</v>
      </c>
      <c r="U93">
        <f t="shared" si="11"/>
        <v>0</v>
      </c>
      <c r="V93">
        <f t="shared" si="12"/>
        <v>0</v>
      </c>
      <c r="W93">
        <f t="shared" si="13"/>
        <v>0</v>
      </c>
      <c r="X93">
        <f t="shared" si="14"/>
        <v>0</v>
      </c>
      <c r="Y93">
        <f t="shared" si="15"/>
        <v>0</v>
      </c>
      <c r="Z93">
        <f t="shared" si="16"/>
        <v>0</v>
      </c>
      <c r="AA93">
        <f t="shared" si="17"/>
        <v>1</v>
      </c>
    </row>
    <row r="94" spans="2:27" x14ac:dyDescent="0.25">
      <c r="B94" s="19" t="s">
        <v>130</v>
      </c>
      <c r="C94" s="14">
        <v>0.74605692215736963</v>
      </c>
      <c r="D94" s="14">
        <v>0.7479123690007019</v>
      </c>
      <c r="E94" s="14">
        <v>0.74543245908333944</v>
      </c>
      <c r="F94" s="14">
        <v>0.752096740359673</v>
      </c>
      <c r="G94" s="14">
        <v>0.76477291242112511</v>
      </c>
      <c r="H94" s="14">
        <v>0.76466998441216627</v>
      </c>
      <c r="I94" s="14">
        <v>0.74264489611153273</v>
      </c>
      <c r="J94" s="14">
        <v>0.74973414165756258</v>
      </c>
      <c r="K94" s="14">
        <v>0.76138931835354717</v>
      </c>
      <c r="L94" s="15">
        <v>0.76767626574749848</v>
      </c>
      <c r="M94" s="14">
        <v>0.75380698082419528</v>
      </c>
      <c r="N94" s="14">
        <v>0.76570513330835077</v>
      </c>
      <c r="P94">
        <f t="shared" si="6"/>
        <v>0</v>
      </c>
      <c r="Q94">
        <f t="shared" si="7"/>
        <v>0</v>
      </c>
      <c r="R94">
        <f t="shared" si="8"/>
        <v>0</v>
      </c>
      <c r="S94">
        <f t="shared" si="9"/>
        <v>0</v>
      </c>
      <c r="T94">
        <f t="shared" si="10"/>
        <v>0</v>
      </c>
      <c r="U94">
        <f t="shared" si="11"/>
        <v>0</v>
      </c>
      <c r="V94">
        <f t="shared" si="12"/>
        <v>0</v>
      </c>
      <c r="W94">
        <f t="shared" si="13"/>
        <v>0</v>
      </c>
      <c r="X94">
        <f t="shared" si="14"/>
        <v>0</v>
      </c>
      <c r="Y94">
        <f t="shared" si="15"/>
        <v>1</v>
      </c>
      <c r="Z94">
        <f t="shared" si="16"/>
        <v>0</v>
      </c>
      <c r="AA94">
        <f t="shared" si="17"/>
        <v>0</v>
      </c>
    </row>
    <row r="95" spans="2:27" x14ac:dyDescent="0.25">
      <c r="B95" s="19" t="s">
        <v>132</v>
      </c>
      <c r="C95" s="14">
        <v>0.68660982915052093</v>
      </c>
      <c r="D95" s="14">
        <v>0.71636774780032564</v>
      </c>
      <c r="E95" s="14">
        <v>0.69669160680822528</v>
      </c>
      <c r="F95" s="14">
        <v>0.69710809949850727</v>
      </c>
      <c r="G95" s="14">
        <v>0.68843234869600756</v>
      </c>
      <c r="H95" s="15">
        <v>0.71929502639941756</v>
      </c>
      <c r="I95" s="14">
        <v>0.70397052767950397</v>
      </c>
      <c r="J95" s="14">
        <v>0.69554155625233105</v>
      </c>
      <c r="K95" s="14">
        <v>0.71105558344296271</v>
      </c>
      <c r="L95" s="14">
        <v>0.70258278558062681</v>
      </c>
      <c r="M95" s="14">
        <v>0.71137399037854487</v>
      </c>
      <c r="N95" s="14">
        <v>0.71260051988067885</v>
      </c>
      <c r="P95">
        <f t="shared" si="6"/>
        <v>0</v>
      </c>
      <c r="Q95">
        <f t="shared" si="7"/>
        <v>0</v>
      </c>
      <c r="R95">
        <f t="shared" si="8"/>
        <v>0</v>
      </c>
      <c r="S95">
        <f t="shared" si="9"/>
        <v>0</v>
      </c>
      <c r="T95">
        <f t="shared" si="10"/>
        <v>0</v>
      </c>
      <c r="U95">
        <f t="shared" si="11"/>
        <v>1</v>
      </c>
      <c r="V95">
        <f t="shared" si="12"/>
        <v>0</v>
      </c>
      <c r="W95">
        <f t="shared" si="13"/>
        <v>0</v>
      </c>
      <c r="X95">
        <f t="shared" si="14"/>
        <v>0</v>
      </c>
      <c r="Y95">
        <f t="shared" si="15"/>
        <v>0</v>
      </c>
      <c r="Z95">
        <f t="shared" si="16"/>
        <v>0</v>
      </c>
      <c r="AA95">
        <f t="shared" si="17"/>
        <v>0</v>
      </c>
    </row>
    <row r="96" spans="2:27" x14ac:dyDescent="0.25">
      <c r="B96" s="19" t="s">
        <v>134</v>
      </c>
      <c r="C96" s="14">
        <v>3.3281637054863561E-2</v>
      </c>
      <c r="D96" s="14">
        <v>0.29725552941448374</v>
      </c>
      <c r="E96" s="14">
        <v>0.44809575657360989</v>
      </c>
      <c r="F96" s="14">
        <v>0.32961737738436264</v>
      </c>
      <c r="G96" s="14">
        <v>0.38632522090144328</v>
      </c>
      <c r="H96" s="14">
        <v>0.36786753873249328</v>
      </c>
      <c r="I96" s="14">
        <v>0.5015829084648743</v>
      </c>
      <c r="J96" s="14">
        <v>3.3281637054863561E-2</v>
      </c>
      <c r="K96" s="14">
        <v>0.38453285095972362</v>
      </c>
      <c r="L96" s="15">
        <v>0.5025234912658022</v>
      </c>
      <c r="M96" s="14">
        <v>0.2343261911110876</v>
      </c>
      <c r="N96" s="14">
        <v>0.4804215882064975</v>
      </c>
      <c r="P96">
        <f t="shared" si="6"/>
        <v>0</v>
      </c>
      <c r="Q96">
        <f t="shared" si="7"/>
        <v>0</v>
      </c>
      <c r="R96">
        <f t="shared" si="8"/>
        <v>0</v>
      </c>
      <c r="S96">
        <f t="shared" si="9"/>
        <v>0</v>
      </c>
      <c r="T96">
        <f t="shared" si="10"/>
        <v>0</v>
      </c>
      <c r="U96">
        <f t="shared" si="11"/>
        <v>0</v>
      </c>
      <c r="V96">
        <f t="shared" si="12"/>
        <v>0</v>
      </c>
      <c r="W96">
        <f t="shared" si="13"/>
        <v>0</v>
      </c>
      <c r="X96">
        <f t="shared" si="14"/>
        <v>0</v>
      </c>
      <c r="Y96">
        <f t="shared" si="15"/>
        <v>1</v>
      </c>
      <c r="Z96">
        <f t="shared" si="16"/>
        <v>0</v>
      </c>
      <c r="AA96">
        <f t="shared" si="17"/>
        <v>0</v>
      </c>
    </row>
    <row r="97" spans="2:27" x14ac:dyDescent="0.25">
      <c r="B97" s="19" t="s">
        <v>136</v>
      </c>
      <c r="C97" s="14">
        <v>0.47328220854016523</v>
      </c>
      <c r="D97" s="14">
        <v>0.69301382556589075</v>
      </c>
      <c r="E97" s="14">
        <v>0.72346828247884742</v>
      </c>
      <c r="F97" s="15">
        <v>0.83381243024765472</v>
      </c>
      <c r="G97" s="14">
        <v>0.74484921091038192</v>
      </c>
      <c r="H97" s="14">
        <v>0.78412423947963472</v>
      </c>
      <c r="I97" s="14">
        <v>0.70393872516149569</v>
      </c>
      <c r="J97" s="14">
        <v>0.64357967779583414</v>
      </c>
      <c r="K97" s="14">
        <v>0.70733528760118913</v>
      </c>
      <c r="L97" s="14">
        <v>0.6430232559866409</v>
      </c>
      <c r="M97" s="14">
        <v>0.65987608540977405</v>
      </c>
      <c r="N97" s="14">
        <v>0.78483179614433618</v>
      </c>
      <c r="P97">
        <f t="shared" si="6"/>
        <v>0</v>
      </c>
      <c r="Q97">
        <f t="shared" si="7"/>
        <v>0</v>
      </c>
      <c r="R97">
        <f t="shared" si="8"/>
        <v>0</v>
      </c>
      <c r="S97">
        <f t="shared" si="9"/>
        <v>1</v>
      </c>
      <c r="T97">
        <f t="shared" si="10"/>
        <v>0</v>
      </c>
      <c r="U97">
        <f t="shared" si="11"/>
        <v>0</v>
      </c>
      <c r="V97">
        <f t="shared" si="12"/>
        <v>0</v>
      </c>
      <c r="W97">
        <f t="shared" si="13"/>
        <v>0</v>
      </c>
      <c r="X97">
        <f t="shared" si="14"/>
        <v>0</v>
      </c>
      <c r="Y97">
        <f t="shared" si="15"/>
        <v>0</v>
      </c>
      <c r="Z97">
        <f t="shared" si="16"/>
        <v>0</v>
      </c>
      <c r="AA97">
        <f t="shared" si="17"/>
        <v>0</v>
      </c>
    </row>
    <row r="98" spans="2:27" x14ac:dyDescent="0.25">
      <c r="B98" s="19" t="s">
        <v>138</v>
      </c>
      <c r="C98" s="14">
        <v>0.16447358820941851</v>
      </c>
      <c r="D98" s="14">
        <v>0.42188732083369351</v>
      </c>
      <c r="E98" s="14">
        <v>0.34144099536101735</v>
      </c>
      <c r="F98" s="14">
        <v>0.34598770607446738</v>
      </c>
      <c r="G98" s="14">
        <v>0.46378545990415576</v>
      </c>
      <c r="H98" s="14">
        <v>0.33315581561288188</v>
      </c>
      <c r="I98" s="14">
        <v>0.38295785785439962</v>
      </c>
      <c r="J98" s="14">
        <v>0.26556201801358492</v>
      </c>
      <c r="K98" s="14">
        <v>0.28797485582021437</v>
      </c>
      <c r="L98" s="14">
        <v>0.30073191357719464</v>
      </c>
      <c r="M98" s="14">
        <v>0.3232210964794735</v>
      </c>
      <c r="N98" s="15">
        <v>0.49711802783465653</v>
      </c>
      <c r="P98">
        <f t="shared" si="6"/>
        <v>0</v>
      </c>
      <c r="Q98">
        <f t="shared" si="7"/>
        <v>0</v>
      </c>
      <c r="R98">
        <f t="shared" si="8"/>
        <v>0</v>
      </c>
      <c r="S98">
        <f t="shared" si="9"/>
        <v>0</v>
      </c>
      <c r="T98">
        <f t="shared" si="10"/>
        <v>0</v>
      </c>
      <c r="U98">
        <f t="shared" si="11"/>
        <v>0</v>
      </c>
      <c r="V98">
        <f t="shared" si="12"/>
        <v>0</v>
      </c>
      <c r="W98">
        <f t="shared" si="13"/>
        <v>0</v>
      </c>
      <c r="X98">
        <f t="shared" si="14"/>
        <v>0</v>
      </c>
      <c r="Y98">
        <f t="shared" si="15"/>
        <v>0</v>
      </c>
      <c r="Z98">
        <f t="shared" si="16"/>
        <v>0</v>
      </c>
      <c r="AA98">
        <f t="shared" si="17"/>
        <v>1</v>
      </c>
    </row>
    <row r="99" spans="2:27" x14ac:dyDescent="0.25">
      <c r="B99" s="19" t="s">
        <v>140</v>
      </c>
      <c r="C99" s="14">
        <v>3.8887504652315816E-2</v>
      </c>
      <c r="D99" s="14">
        <v>0.39017972196084005</v>
      </c>
      <c r="E99" s="14">
        <v>0.13710605545690044</v>
      </c>
      <c r="F99" s="14">
        <v>0.12249085208014945</v>
      </c>
      <c r="G99" s="14">
        <v>0.12401632750346628</v>
      </c>
      <c r="H99" s="14">
        <v>0.12381507694997831</v>
      </c>
      <c r="I99" s="14">
        <v>0.29240539156596868</v>
      </c>
      <c r="J99" s="14">
        <v>0.15431616438719983</v>
      </c>
      <c r="K99" s="14">
        <v>0.10023986102661213</v>
      </c>
      <c r="L99" s="14">
        <v>4.2409353793486898E-2</v>
      </c>
      <c r="M99" s="14">
        <v>0.21302660146304725</v>
      </c>
      <c r="N99" s="15">
        <v>0.50820812347080613</v>
      </c>
      <c r="P99">
        <f t="shared" si="6"/>
        <v>0</v>
      </c>
      <c r="Q99">
        <f t="shared" si="7"/>
        <v>0</v>
      </c>
      <c r="R99">
        <f t="shared" si="8"/>
        <v>0</v>
      </c>
      <c r="S99">
        <f t="shared" si="9"/>
        <v>0</v>
      </c>
      <c r="T99">
        <f t="shared" si="10"/>
        <v>0</v>
      </c>
      <c r="U99">
        <f t="shared" si="11"/>
        <v>0</v>
      </c>
      <c r="V99">
        <f t="shared" si="12"/>
        <v>0</v>
      </c>
      <c r="W99">
        <f t="shared" si="13"/>
        <v>0</v>
      </c>
      <c r="X99">
        <f t="shared" si="14"/>
        <v>0</v>
      </c>
      <c r="Y99">
        <f t="shared" si="15"/>
        <v>0</v>
      </c>
      <c r="Z99">
        <f t="shared" si="16"/>
        <v>0</v>
      </c>
      <c r="AA99">
        <f t="shared" si="17"/>
        <v>1</v>
      </c>
    </row>
    <row r="100" spans="2:27" x14ac:dyDescent="0.25">
      <c r="B100" s="19" t="s">
        <v>142</v>
      </c>
      <c r="C100" s="14">
        <v>0.41584492271828999</v>
      </c>
      <c r="D100" s="14">
        <v>0.59372311309097081</v>
      </c>
      <c r="E100" s="14">
        <v>0.57741347812292942</v>
      </c>
      <c r="F100" s="14">
        <v>0.45623852721646663</v>
      </c>
      <c r="G100" s="14">
        <v>0.45605126591686351</v>
      </c>
      <c r="H100" s="15">
        <v>0.65335201851126889</v>
      </c>
      <c r="I100" s="14">
        <v>0.58458691122128936</v>
      </c>
      <c r="J100" s="14">
        <v>0.42481225988919724</v>
      </c>
      <c r="K100" s="14">
        <v>0.53548302375107804</v>
      </c>
      <c r="L100" s="14">
        <v>0.54859736085398447</v>
      </c>
      <c r="M100" s="14">
        <v>0.43292505868272074</v>
      </c>
      <c r="N100" s="14">
        <v>0.61716178584762771</v>
      </c>
      <c r="P100">
        <f t="shared" si="6"/>
        <v>0</v>
      </c>
      <c r="Q100">
        <f t="shared" si="7"/>
        <v>0</v>
      </c>
      <c r="R100">
        <f t="shared" si="8"/>
        <v>0</v>
      </c>
      <c r="S100">
        <f t="shared" si="9"/>
        <v>0</v>
      </c>
      <c r="T100">
        <f t="shared" si="10"/>
        <v>0</v>
      </c>
      <c r="U100">
        <f t="shared" si="11"/>
        <v>1</v>
      </c>
      <c r="V100">
        <f t="shared" si="12"/>
        <v>0</v>
      </c>
      <c r="W100">
        <f t="shared" si="13"/>
        <v>0</v>
      </c>
      <c r="X100">
        <f t="shared" si="14"/>
        <v>0</v>
      </c>
      <c r="Y100">
        <f t="shared" si="15"/>
        <v>0</v>
      </c>
      <c r="Z100">
        <f t="shared" si="16"/>
        <v>0</v>
      </c>
      <c r="AA100">
        <f t="shared" si="17"/>
        <v>0</v>
      </c>
    </row>
    <row r="101" spans="2:27" x14ac:dyDescent="0.25">
      <c r="B101" s="19" t="s">
        <v>144</v>
      </c>
      <c r="C101" s="14">
        <v>0.40706683659351689</v>
      </c>
      <c r="D101" s="14">
        <v>0.5965360373533648</v>
      </c>
      <c r="E101" s="14">
        <v>0.7349025428604733</v>
      </c>
      <c r="F101" s="14">
        <v>0.58210690412020905</v>
      </c>
      <c r="G101" s="14">
        <v>0.55307331840640683</v>
      </c>
      <c r="H101" s="14">
        <v>0.72729150915596641</v>
      </c>
      <c r="I101" s="14">
        <v>0.67230052945690832</v>
      </c>
      <c r="J101" s="14">
        <v>0.60476537512174289</v>
      </c>
      <c r="K101" s="14">
        <v>0.71047021268066735</v>
      </c>
      <c r="L101" s="14">
        <v>0.71035882264301653</v>
      </c>
      <c r="M101" s="14">
        <v>0.55049548921151892</v>
      </c>
      <c r="N101" s="15">
        <v>0.73665570947705461</v>
      </c>
      <c r="P101">
        <f t="shared" si="6"/>
        <v>0</v>
      </c>
      <c r="Q101">
        <f t="shared" si="7"/>
        <v>0</v>
      </c>
      <c r="R101">
        <f t="shared" si="8"/>
        <v>0</v>
      </c>
      <c r="S101">
        <f t="shared" si="9"/>
        <v>0</v>
      </c>
      <c r="T101">
        <f t="shared" si="10"/>
        <v>0</v>
      </c>
      <c r="U101">
        <f t="shared" si="11"/>
        <v>0</v>
      </c>
      <c r="V101">
        <f t="shared" si="12"/>
        <v>0</v>
      </c>
      <c r="W101">
        <f t="shared" si="13"/>
        <v>0</v>
      </c>
      <c r="X101">
        <f t="shared" si="14"/>
        <v>0</v>
      </c>
      <c r="Y101">
        <f t="shared" si="15"/>
        <v>0</v>
      </c>
      <c r="Z101">
        <f t="shared" si="16"/>
        <v>0</v>
      </c>
      <c r="AA101">
        <f t="shared" si="17"/>
        <v>1</v>
      </c>
    </row>
    <row r="102" spans="2:27" x14ac:dyDescent="0.25">
      <c r="B102" s="19" t="s">
        <v>146</v>
      </c>
      <c r="C102" s="14">
        <v>0.75584693568582184</v>
      </c>
      <c r="D102" s="14">
        <v>0.91098887885827606</v>
      </c>
      <c r="E102" s="14">
        <v>0.92352858323622877</v>
      </c>
      <c r="F102" s="14">
        <v>0.92962774185542418</v>
      </c>
      <c r="G102" s="14">
        <v>0.92017185962017722</v>
      </c>
      <c r="H102" s="14">
        <v>0.91245871047084504</v>
      </c>
      <c r="I102" s="14">
        <v>0.92675121835035879</v>
      </c>
      <c r="J102" s="14">
        <v>0.74845036278721422</v>
      </c>
      <c r="K102" s="14">
        <v>0.91478462915713554</v>
      </c>
      <c r="L102" s="14">
        <v>0.88490144894032663</v>
      </c>
      <c r="M102" s="14">
        <v>0.88808717900497947</v>
      </c>
      <c r="N102" s="15">
        <v>0.94166895057840849</v>
      </c>
      <c r="P102">
        <f t="shared" si="6"/>
        <v>0</v>
      </c>
      <c r="Q102">
        <f t="shared" si="7"/>
        <v>0</v>
      </c>
      <c r="R102">
        <f t="shared" si="8"/>
        <v>0</v>
      </c>
      <c r="S102">
        <f t="shared" si="9"/>
        <v>0</v>
      </c>
      <c r="T102">
        <f t="shared" si="10"/>
        <v>0</v>
      </c>
      <c r="U102">
        <f t="shared" si="11"/>
        <v>0</v>
      </c>
      <c r="V102">
        <f t="shared" si="12"/>
        <v>0</v>
      </c>
      <c r="W102">
        <f t="shared" si="13"/>
        <v>0</v>
      </c>
      <c r="X102">
        <f t="shared" si="14"/>
        <v>0</v>
      </c>
      <c r="Y102">
        <f t="shared" si="15"/>
        <v>0</v>
      </c>
      <c r="Z102">
        <f t="shared" si="16"/>
        <v>0</v>
      </c>
      <c r="AA102">
        <f t="shared" si="17"/>
        <v>1</v>
      </c>
    </row>
    <row r="103" spans="2:27" x14ac:dyDescent="0.25">
      <c r="B103" s="19" t="s">
        <v>148</v>
      </c>
      <c r="C103" s="14">
        <v>0.53557388219514446</v>
      </c>
      <c r="D103" s="14">
        <v>0.70583087400556088</v>
      </c>
      <c r="E103" s="14">
        <v>0.69273171978577863</v>
      </c>
      <c r="F103" s="14">
        <v>0.7389577184897117</v>
      </c>
      <c r="G103" s="14">
        <v>0.63493166917478017</v>
      </c>
      <c r="H103" s="14">
        <v>0.78541914756834585</v>
      </c>
      <c r="I103" s="14">
        <v>0.68408506834945448</v>
      </c>
      <c r="J103" s="14">
        <v>0.61220662210196253</v>
      </c>
      <c r="K103" s="14">
        <v>0.71373533438891434</v>
      </c>
      <c r="L103" s="14">
        <v>0.76915985557132593</v>
      </c>
      <c r="M103" s="14">
        <v>0.61793375509907933</v>
      </c>
      <c r="N103" s="15">
        <v>0.82607538832172345</v>
      </c>
      <c r="P103">
        <f t="shared" si="6"/>
        <v>0</v>
      </c>
      <c r="Q103">
        <f t="shared" si="7"/>
        <v>0</v>
      </c>
      <c r="R103">
        <f t="shared" si="8"/>
        <v>0</v>
      </c>
      <c r="S103">
        <f t="shared" si="9"/>
        <v>0</v>
      </c>
      <c r="T103">
        <f t="shared" si="10"/>
        <v>0</v>
      </c>
      <c r="U103">
        <f t="shared" si="11"/>
        <v>0</v>
      </c>
      <c r="V103">
        <f t="shared" si="12"/>
        <v>0</v>
      </c>
      <c r="W103">
        <f t="shared" si="13"/>
        <v>0</v>
      </c>
      <c r="X103">
        <f t="shared" si="14"/>
        <v>0</v>
      </c>
      <c r="Y103">
        <f t="shared" si="15"/>
        <v>0</v>
      </c>
      <c r="Z103">
        <f t="shared" si="16"/>
        <v>0</v>
      </c>
      <c r="AA103">
        <f t="shared" si="17"/>
        <v>1</v>
      </c>
    </row>
    <row r="104" spans="2:27" x14ac:dyDescent="0.25">
      <c r="B104" s="19" t="s">
        <v>150</v>
      </c>
      <c r="C104" s="14">
        <v>0.86359591255974089</v>
      </c>
      <c r="D104" s="14">
        <v>0.84884270077539203</v>
      </c>
      <c r="E104" s="14">
        <v>0.87026093877596034</v>
      </c>
      <c r="F104" s="14">
        <v>0.8653821558525896</v>
      </c>
      <c r="G104" s="14">
        <v>0.86222350093707623</v>
      </c>
      <c r="H104" s="14">
        <v>0.87097795265547251</v>
      </c>
      <c r="I104" s="15">
        <v>0.88380558512400231</v>
      </c>
      <c r="J104" s="14">
        <v>0.86166843104346225</v>
      </c>
      <c r="K104" s="14">
        <v>0.85887662372139806</v>
      </c>
      <c r="L104" s="14">
        <v>0.85688424792139484</v>
      </c>
      <c r="M104" s="14">
        <v>0.86308690055973858</v>
      </c>
      <c r="N104" s="14">
        <v>0.86794197403511897</v>
      </c>
      <c r="P104">
        <f t="shared" si="6"/>
        <v>0</v>
      </c>
      <c r="Q104">
        <f t="shared" si="7"/>
        <v>0</v>
      </c>
      <c r="R104">
        <f t="shared" si="8"/>
        <v>0</v>
      </c>
      <c r="S104">
        <f t="shared" si="9"/>
        <v>0</v>
      </c>
      <c r="T104">
        <f t="shared" si="10"/>
        <v>0</v>
      </c>
      <c r="U104">
        <f t="shared" si="11"/>
        <v>0</v>
      </c>
      <c r="V104">
        <f t="shared" si="12"/>
        <v>1</v>
      </c>
      <c r="W104">
        <f t="shared" si="13"/>
        <v>0</v>
      </c>
      <c r="X104">
        <f t="shared" si="14"/>
        <v>0</v>
      </c>
      <c r="Y104">
        <f t="shared" si="15"/>
        <v>0</v>
      </c>
      <c r="Z104">
        <f t="shared" si="16"/>
        <v>0</v>
      </c>
      <c r="AA104">
        <f t="shared" si="17"/>
        <v>0</v>
      </c>
    </row>
    <row r="105" spans="2:27" x14ac:dyDescent="0.25">
      <c r="B105" s="19" t="s">
        <v>152</v>
      </c>
      <c r="C105" s="14">
        <v>0</v>
      </c>
      <c r="D105" s="15">
        <v>0.62165285497069722</v>
      </c>
      <c r="E105" s="14">
        <v>0.35820034997499794</v>
      </c>
      <c r="F105" s="14">
        <v>0.36749192434821465</v>
      </c>
      <c r="G105" s="14">
        <v>0.35624713161925575</v>
      </c>
      <c r="H105" s="14">
        <v>0.53103753873151605</v>
      </c>
      <c r="I105" s="14">
        <v>0.1293559891507596</v>
      </c>
      <c r="J105" s="14">
        <v>0</v>
      </c>
      <c r="K105" s="14">
        <v>9.2669208007801304E-2</v>
      </c>
      <c r="L105" s="14">
        <v>0.59514047888170984</v>
      </c>
      <c r="M105" s="14">
        <v>0.18619753034583861</v>
      </c>
      <c r="N105" s="14">
        <v>0.37815789052430687</v>
      </c>
      <c r="P105">
        <f t="shared" si="6"/>
        <v>0</v>
      </c>
      <c r="Q105">
        <f t="shared" si="7"/>
        <v>1</v>
      </c>
      <c r="R105">
        <f t="shared" si="8"/>
        <v>0</v>
      </c>
      <c r="S105">
        <f t="shared" si="9"/>
        <v>0</v>
      </c>
      <c r="T105">
        <f t="shared" si="10"/>
        <v>0</v>
      </c>
      <c r="U105">
        <f t="shared" si="11"/>
        <v>0</v>
      </c>
      <c r="V105">
        <f t="shared" si="12"/>
        <v>0</v>
      </c>
      <c r="W105">
        <f t="shared" si="13"/>
        <v>0</v>
      </c>
      <c r="X105">
        <f t="shared" si="14"/>
        <v>0</v>
      </c>
      <c r="Y105">
        <f t="shared" si="15"/>
        <v>0</v>
      </c>
      <c r="Z105">
        <f t="shared" si="16"/>
        <v>0</v>
      </c>
      <c r="AA105">
        <f t="shared" si="17"/>
        <v>0</v>
      </c>
    </row>
    <row r="106" spans="2:27" x14ac:dyDescent="0.25">
      <c r="B106" s="19" t="s">
        <v>154</v>
      </c>
      <c r="C106" s="14">
        <v>0.87933860867255464</v>
      </c>
      <c r="D106" s="14">
        <v>0.95499046513861263</v>
      </c>
      <c r="E106" s="14">
        <v>0.95880076217151156</v>
      </c>
      <c r="F106" s="14">
        <v>0.96594551939657047</v>
      </c>
      <c r="G106" s="15">
        <v>0.99029855244862042</v>
      </c>
      <c r="H106" s="14">
        <v>0.98796298350146328</v>
      </c>
      <c r="I106" s="14">
        <v>0.97336029203007801</v>
      </c>
      <c r="J106" s="14">
        <v>0.88654697787704395</v>
      </c>
      <c r="K106" s="14">
        <v>0.96612309264184804</v>
      </c>
      <c r="L106" s="14">
        <v>0.89881838897222277</v>
      </c>
      <c r="M106" s="14">
        <v>0.8907499338838899</v>
      </c>
      <c r="N106" s="14">
        <v>0.95880076217151167</v>
      </c>
      <c r="P106">
        <f t="shared" si="6"/>
        <v>0</v>
      </c>
      <c r="Q106">
        <f t="shared" si="7"/>
        <v>0</v>
      </c>
      <c r="R106">
        <f t="shared" si="8"/>
        <v>0</v>
      </c>
      <c r="S106">
        <f t="shared" si="9"/>
        <v>0</v>
      </c>
      <c r="T106">
        <f t="shared" si="10"/>
        <v>1</v>
      </c>
      <c r="U106">
        <f t="shared" si="11"/>
        <v>0</v>
      </c>
      <c r="V106">
        <f t="shared" si="12"/>
        <v>0</v>
      </c>
      <c r="W106">
        <f t="shared" si="13"/>
        <v>0</v>
      </c>
      <c r="X106">
        <f t="shared" si="14"/>
        <v>0</v>
      </c>
      <c r="Y106">
        <f t="shared" si="15"/>
        <v>0</v>
      </c>
      <c r="Z106">
        <f t="shared" si="16"/>
        <v>0</v>
      </c>
      <c r="AA106">
        <f t="shared" si="17"/>
        <v>0</v>
      </c>
    </row>
    <row r="107" spans="2:27" x14ac:dyDescent="0.25">
      <c r="B107" s="19" t="s">
        <v>156</v>
      </c>
      <c r="C107" s="14">
        <v>0.91008283080704866</v>
      </c>
      <c r="D107" s="15">
        <v>0.96394100765780022</v>
      </c>
      <c r="E107" s="14">
        <v>0.96088147152731684</v>
      </c>
      <c r="F107" s="14">
        <v>0.95458846085923543</v>
      </c>
      <c r="G107" s="14">
        <v>0.91895524142187013</v>
      </c>
      <c r="H107" s="14">
        <v>0.95911989071750181</v>
      </c>
      <c r="I107" s="14">
        <v>0.92431402385427064</v>
      </c>
      <c r="J107" s="14">
        <v>0.90573304097512741</v>
      </c>
      <c r="K107" s="14">
        <v>0.91773186619622671</v>
      </c>
      <c r="L107" s="14">
        <v>0.92160151558120029</v>
      </c>
      <c r="M107" s="14">
        <v>0.91892715291599736</v>
      </c>
      <c r="N107" s="14">
        <v>0.93166109924315443</v>
      </c>
      <c r="P107">
        <f t="shared" si="6"/>
        <v>0</v>
      </c>
      <c r="Q107">
        <f t="shared" si="7"/>
        <v>1</v>
      </c>
      <c r="R107">
        <f t="shared" si="8"/>
        <v>0</v>
      </c>
      <c r="S107">
        <f t="shared" si="9"/>
        <v>0</v>
      </c>
      <c r="T107">
        <f t="shared" si="10"/>
        <v>0</v>
      </c>
      <c r="U107">
        <f t="shared" si="11"/>
        <v>0</v>
      </c>
      <c r="V107">
        <f t="shared" si="12"/>
        <v>0</v>
      </c>
      <c r="W107">
        <f t="shared" si="13"/>
        <v>0</v>
      </c>
      <c r="X107">
        <f t="shared" si="14"/>
        <v>0</v>
      </c>
      <c r="Y107">
        <f t="shared" si="15"/>
        <v>0</v>
      </c>
      <c r="Z107">
        <f t="shared" si="16"/>
        <v>0</v>
      </c>
      <c r="AA107">
        <f t="shared" si="17"/>
        <v>0</v>
      </c>
    </row>
    <row r="108" spans="2:27" x14ac:dyDescent="0.25">
      <c r="B108" s="19" t="s">
        <v>158</v>
      </c>
      <c r="C108" s="14">
        <v>0.84352720738122822</v>
      </c>
      <c r="D108" s="15">
        <v>0.93561495661860894</v>
      </c>
      <c r="E108" s="14">
        <v>0.89560948916703687</v>
      </c>
      <c r="F108" s="14">
        <v>0.89017100083999567</v>
      </c>
      <c r="G108" s="14">
        <v>0.88809342236447597</v>
      </c>
      <c r="H108" s="14">
        <v>0.92218309831442391</v>
      </c>
      <c r="I108" s="14">
        <v>0.88587651297667713</v>
      </c>
      <c r="J108" s="14">
        <v>0.86111246477995407</v>
      </c>
      <c r="K108" s="14">
        <v>0.87104587225045615</v>
      </c>
      <c r="L108" s="14">
        <v>0.88084570562472686</v>
      </c>
      <c r="M108" s="14">
        <v>0.85997581310597959</v>
      </c>
      <c r="N108" s="14">
        <v>0.90260666714934357</v>
      </c>
      <c r="P108">
        <f t="shared" si="6"/>
        <v>0</v>
      </c>
      <c r="Q108">
        <f t="shared" si="7"/>
        <v>1</v>
      </c>
      <c r="R108">
        <f t="shared" si="8"/>
        <v>0</v>
      </c>
      <c r="S108">
        <f t="shared" si="9"/>
        <v>0</v>
      </c>
      <c r="T108">
        <f t="shared" si="10"/>
        <v>0</v>
      </c>
      <c r="U108">
        <f t="shared" si="11"/>
        <v>0</v>
      </c>
      <c r="V108">
        <f t="shared" si="12"/>
        <v>0</v>
      </c>
      <c r="W108">
        <f t="shared" si="13"/>
        <v>0</v>
      </c>
      <c r="X108">
        <f t="shared" si="14"/>
        <v>0</v>
      </c>
      <c r="Y108">
        <f t="shared" si="15"/>
        <v>0</v>
      </c>
      <c r="Z108">
        <f t="shared" si="16"/>
        <v>0</v>
      </c>
      <c r="AA108">
        <f t="shared" si="17"/>
        <v>0</v>
      </c>
    </row>
    <row r="109" spans="2:27" x14ac:dyDescent="0.25">
      <c r="B109" s="19" t="s">
        <v>160</v>
      </c>
      <c r="C109" s="14">
        <v>0.9167649157014347</v>
      </c>
      <c r="D109" s="15">
        <v>0.98911016268086738</v>
      </c>
      <c r="E109" s="14">
        <v>0.97734362589124735</v>
      </c>
      <c r="F109" s="14">
        <v>0.94807812250180645</v>
      </c>
      <c r="G109" s="14">
        <v>0.95761406084948208</v>
      </c>
      <c r="H109" s="14">
        <v>0.97539536223159495</v>
      </c>
      <c r="I109" s="14">
        <v>0.97213311931815372</v>
      </c>
      <c r="J109" s="14">
        <v>0.96096387171641684</v>
      </c>
      <c r="K109" s="14">
        <v>0.94486564561778208</v>
      </c>
      <c r="L109" s="14">
        <v>0.91104368280301218</v>
      </c>
      <c r="M109" s="14">
        <v>0.93057537643980615</v>
      </c>
      <c r="N109" s="14">
        <v>0.95544074570512749</v>
      </c>
      <c r="P109">
        <f t="shared" si="6"/>
        <v>0</v>
      </c>
      <c r="Q109">
        <f t="shared" si="7"/>
        <v>1</v>
      </c>
      <c r="R109">
        <f t="shared" si="8"/>
        <v>0</v>
      </c>
      <c r="S109">
        <f t="shared" si="9"/>
        <v>0</v>
      </c>
      <c r="T109">
        <f t="shared" si="10"/>
        <v>0</v>
      </c>
      <c r="U109">
        <f t="shared" si="11"/>
        <v>0</v>
      </c>
      <c r="V109">
        <f t="shared" si="12"/>
        <v>0</v>
      </c>
      <c r="W109">
        <f t="shared" si="13"/>
        <v>0</v>
      </c>
      <c r="X109">
        <f t="shared" si="14"/>
        <v>0</v>
      </c>
      <c r="Y109">
        <f t="shared" si="15"/>
        <v>0</v>
      </c>
      <c r="Z109">
        <f t="shared" si="16"/>
        <v>0</v>
      </c>
      <c r="AA109">
        <f t="shared" si="17"/>
        <v>0</v>
      </c>
    </row>
    <row r="110" spans="2:27" x14ac:dyDescent="0.25">
      <c r="B110" s="19" t="s">
        <v>162</v>
      </c>
      <c r="C110" s="14">
        <v>0.23489084407280061</v>
      </c>
      <c r="D110" s="14">
        <v>0.42354205017853258</v>
      </c>
      <c r="E110" s="14">
        <v>0.63020941515975937</v>
      </c>
      <c r="F110" s="14">
        <v>0.61065239532062021</v>
      </c>
      <c r="G110" s="15">
        <v>0.71184294364867939</v>
      </c>
      <c r="H110" s="14">
        <v>0.65999055217347713</v>
      </c>
      <c r="I110" s="14">
        <v>0.49036203186205307</v>
      </c>
      <c r="J110" s="14">
        <v>0.57008294777460566</v>
      </c>
      <c r="K110" s="14">
        <v>0.57070620568681296</v>
      </c>
      <c r="L110" s="14">
        <v>0.26391772344425651</v>
      </c>
      <c r="M110" s="14">
        <v>0.54261397057742233</v>
      </c>
      <c r="N110" s="14">
        <v>0.70274119630783316</v>
      </c>
      <c r="P110">
        <f t="shared" si="6"/>
        <v>0</v>
      </c>
      <c r="Q110">
        <f t="shared" si="7"/>
        <v>0</v>
      </c>
      <c r="R110">
        <f t="shared" si="8"/>
        <v>0</v>
      </c>
      <c r="S110">
        <f t="shared" si="9"/>
        <v>0</v>
      </c>
      <c r="T110">
        <f t="shared" si="10"/>
        <v>1</v>
      </c>
      <c r="U110">
        <f t="shared" si="11"/>
        <v>0</v>
      </c>
      <c r="V110">
        <f t="shared" si="12"/>
        <v>0</v>
      </c>
      <c r="W110">
        <f t="shared" si="13"/>
        <v>0</v>
      </c>
      <c r="X110">
        <f t="shared" si="14"/>
        <v>0</v>
      </c>
      <c r="Y110">
        <f t="shared" si="15"/>
        <v>0</v>
      </c>
      <c r="Z110">
        <f t="shared" si="16"/>
        <v>0</v>
      </c>
      <c r="AA110">
        <f t="shared" si="17"/>
        <v>0</v>
      </c>
    </row>
    <row r="111" spans="2:27" x14ac:dyDescent="0.25">
      <c r="B111" s="19" t="s">
        <v>164</v>
      </c>
      <c r="C111" s="14">
        <v>0.20447630911794676</v>
      </c>
      <c r="D111" s="14">
        <v>0.38309225901784083</v>
      </c>
      <c r="E111" s="14">
        <v>0.61556042521932275</v>
      </c>
      <c r="F111" s="14">
        <v>0.59024495784241027</v>
      </c>
      <c r="G111" s="14">
        <v>0.5716451201147954</v>
      </c>
      <c r="H111" s="14">
        <v>0.5880872176132943</v>
      </c>
      <c r="I111" s="14">
        <v>0.59778406126637573</v>
      </c>
      <c r="J111" s="14">
        <v>0.25423130360172896</v>
      </c>
      <c r="K111" s="14">
        <v>0.59753872798503271</v>
      </c>
      <c r="L111" s="14">
        <v>0.60787443357902216</v>
      </c>
      <c r="M111" s="14">
        <v>0.46580764646187861</v>
      </c>
      <c r="N111" s="15">
        <v>0.69011335254131256</v>
      </c>
      <c r="P111">
        <f t="shared" si="6"/>
        <v>0</v>
      </c>
      <c r="Q111">
        <f t="shared" si="7"/>
        <v>0</v>
      </c>
      <c r="R111">
        <f t="shared" si="8"/>
        <v>0</v>
      </c>
      <c r="S111">
        <f t="shared" si="9"/>
        <v>0</v>
      </c>
      <c r="T111">
        <f t="shared" si="10"/>
        <v>0</v>
      </c>
      <c r="U111">
        <f t="shared" si="11"/>
        <v>0</v>
      </c>
      <c r="V111">
        <f t="shared" si="12"/>
        <v>0</v>
      </c>
      <c r="W111">
        <f t="shared" si="13"/>
        <v>0</v>
      </c>
      <c r="X111">
        <f t="shared" si="14"/>
        <v>0</v>
      </c>
      <c r="Y111">
        <f t="shared" si="15"/>
        <v>0</v>
      </c>
      <c r="Z111">
        <f t="shared" si="16"/>
        <v>0</v>
      </c>
      <c r="AA111">
        <f t="shared" si="17"/>
        <v>1</v>
      </c>
    </row>
    <row r="112" spans="2:27" x14ac:dyDescent="0.25">
      <c r="B112" s="19" t="s">
        <v>166</v>
      </c>
      <c r="C112" s="14">
        <v>3.4561411695352574E-2</v>
      </c>
      <c r="D112" s="14">
        <v>0.21343368419933673</v>
      </c>
      <c r="E112" s="14">
        <v>0.40837859738755239</v>
      </c>
      <c r="F112" s="14">
        <v>0.37136323302588914</v>
      </c>
      <c r="G112" s="14">
        <v>0.44441656220737574</v>
      </c>
      <c r="H112" s="14">
        <v>0.37029796676221977</v>
      </c>
      <c r="I112" s="14">
        <v>0.43698705358678486</v>
      </c>
      <c r="J112" s="14">
        <v>0.24719667154060612</v>
      </c>
      <c r="K112" s="14">
        <v>0.37739331792093561</v>
      </c>
      <c r="L112" s="14">
        <v>0.55059260965517753</v>
      </c>
      <c r="M112" s="14">
        <v>0.18331722921494489</v>
      </c>
      <c r="N112" s="15">
        <v>0.60409128340933638</v>
      </c>
      <c r="P112">
        <f t="shared" si="6"/>
        <v>0</v>
      </c>
      <c r="Q112">
        <f t="shared" si="7"/>
        <v>0</v>
      </c>
      <c r="R112">
        <f t="shared" si="8"/>
        <v>0</v>
      </c>
      <c r="S112">
        <f t="shared" si="9"/>
        <v>0</v>
      </c>
      <c r="T112">
        <f t="shared" si="10"/>
        <v>0</v>
      </c>
      <c r="U112">
        <f t="shared" si="11"/>
        <v>0</v>
      </c>
      <c r="V112">
        <f t="shared" si="12"/>
        <v>0</v>
      </c>
      <c r="W112">
        <f t="shared" si="13"/>
        <v>0</v>
      </c>
      <c r="X112">
        <f t="shared" si="14"/>
        <v>0</v>
      </c>
      <c r="Y112">
        <f t="shared" si="15"/>
        <v>0</v>
      </c>
      <c r="Z112">
        <f t="shared" si="16"/>
        <v>0</v>
      </c>
      <c r="AA112">
        <f t="shared" si="17"/>
        <v>1</v>
      </c>
    </row>
    <row r="113" spans="2:27" x14ac:dyDescent="0.25">
      <c r="B113" s="2" t="s">
        <v>171</v>
      </c>
      <c r="C113" s="2">
        <f>P113</f>
        <v>1</v>
      </c>
      <c r="D113" s="2">
        <f t="shared" ref="D113:N113" si="18">Q113</f>
        <v>6</v>
      </c>
      <c r="E113" s="2">
        <f t="shared" si="18"/>
        <v>0</v>
      </c>
      <c r="F113" s="2">
        <f t="shared" si="18"/>
        <v>4</v>
      </c>
      <c r="G113" s="2">
        <f t="shared" si="18"/>
        <v>10</v>
      </c>
      <c r="H113" s="2">
        <f t="shared" si="18"/>
        <v>5</v>
      </c>
      <c r="I113" s="2">
        <f t="shared" si="18"/>
        <v>3</v>
      </c>
      <c r="J113" s="2">
        <f t="shared" si="18"/>
        <v>0</v>
      </c>
      <c r="K113" s="2">
        <f t="shared" si="18"/>
        <v>1</v>
      </c>
      <c r="L113" s="2">
        <f t="shared" si="18"/>
        <v>5</v>
      </c>
      <c r="M113" s="2">
        <f t="shared" si="18"/>
        <v>0</v>
      </c>
      <c r="N113" s="46">
        <f t="shared" si="18"/>
        <v>17</v>
      </c>
      <c r="P113">
        <f t="shared" ref="P113:AA113" si="19">SUM(P61:P112)</f>
        <v>1</v>
      </c>
      <c r="Q113">
        <f t="shared" si="19"/>
        <v>6</v>
      </c>
      <c r="R113">
        <f t="shared" si="19"/>
        <v>0</v>
      </c>
      <c r="S113">
        <f t="shared" si="19"/>
        <v>4</v>
      </c>
      <c r="T113">
        <f t="shared" si="19"/>
        <v>10</v>
      </c>
      <c r="U113">
        <f t="shared" si="19"/>
        <v>5</v>
      </c>
      <c r="V113">
        <f t="shared" si="19"/>
        <v>3</v>
      </c>
      <c r="W113">
        <f t="shared" si="19"/>
        <v>0</v>
      </c>
      <c r="X113">
        <f t="shared" si="19"/>
        <v>1</v>
      </c>
      <c r="Y113">
        <f t="shared" si="19"/>
        <v>5</v>
      </c>
      <c r="Z113">
        <f t="shared" si="19"/>
        <v>0</v>
      </c>
      <c r="AA113">
        <f t="shared" si="19"/>
        <v>17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2F3CB-0897-43A2-A289-3B24678032BC}">
  <dimension ref="D5:P57"/>
  <sheetViews>
    <sheetView topLeftCell="A23" workbookViewId="0">
      <selection activeCell="I23" sqref="D5:P57"/>
    </sheetView>
  </sheetViews>
  <sheetFormatPr defaultRowHeight="15" x14ac:dyDescent="0.25"/>
  <cols>
    <col min="4" max="4" width="7.7109375" style="65" bestFit="1" customWidth="1"/>
    <col min="5" max="5" width="7" bestFit="1" customWidth="1"/>
    <col min="6" max="6" width="5.5703125" bestFit="1" customWidth="1"/>
    <col min="7" max="7" width="7.140625" bestFit="1" customWidth="1"/>
    <col min="8" max="9" width="5.5703125" bestFit="1" customWidth="1"/>
    <col min="10" max="10" width="8.42578125" bestFit="1" customWidth="1"/>
    <col min="11" max="11" width="10.140625" bestFit="1" customWidth="1"/>
    <col min="12" max="12" width="9" bestFit="1" customWidth="1"/>
    <col min="13" max="13" width="6.140625" bestFit="1" customWidth="1"/>
    <col min="14" max="14" width="9.28515625" bestFit="1" customWidth="1"/>
    <col min="15" max="15" width="11.7109375" bestFit="1" customWidth="1"/>
    <col min="16" max="16" width="7.5703125" bestFit="1" customWidth="1"/>
  </cols>
  <sheetData>
    <row r="5" spans="4:16" x14ac:dyDescent="0.25">
      <c r="D5" s="65" t="s">
        <v>169</v>
      </c>
      <c r="E5" s="7" t="s">
        <v>0</v>
      </c>
      <c r="F5" s="7" t="s">
        <v>1</v>
      </c>
      <c r="G5" s="7" t="s">
        <v>2</v>
      </c>
      <c r="H5" s="7" t="s">
        <v>3</v>
      </c>
      <c r="I5" s="7" t="s">
        <v>4</v>
      </c>
      <c r="J5" s="7" t="s">
        <v>5</v>
      </c>
      <c r="K5" s="7" t="s">
        <v>6</v>
      </c>
      <c r="L5" s="7" t="s">
        <v>7</v>
      </c>
      <c r="M5" s="7" t="s">
        <v>8</v>
      </c>
      <c r="N5" s="7" t="s">
        <v>9</v>
      </c>
      <c r="O5" s="7" t="s">
        <v>10</v>
      </c>
      <c r="P5" s="7" t="s">
        <v>11</v>
      </c>
    </row>
    <row r="6" spans="4:16" x14ac:dyDescent="0.25">
      <c r="D6" s="65" t="s">
        <v>65</v>
      </c>
      <c r="E6" s="75">
        <v>0</v>
      </c>
      <c r="F6" s="75">
        <v>1.99999999999818E-4</v>
      </c>
      <c r="G6" s="75">
        <v>7.100000000136792E-3</v>
      </c>
      <c r="H6" s="75">
        <v>0</v>
      </c>
      <c r="I6" s="75">
        <v>0</v>
      </c>
      <c r="J6" s="75">
        <v>5.400000000099681E-3</v>
      </c>
      <c r="K6" s="75">
        <v>0.11919999999974611</v>
      </c>
      <c r="L6" s="75">
        <v>1.2100000000095895E-2</v>
      </c>
      <c r="M6" s="75">
        <v>1.6299999999987411E-2</v>
      </c>
      <c r="N6" s="75">
        <v>1.8799999999714569E-2</v>
      </c>
      <c r="O6" s="75">
        <v>0.2158000000003541</v>
      </c>
      <c r="P6" s="76">
        <v>1.085299999999725</v>
      </c>
    </row>
    <row r="7" spans="4:16" x14ac:dyDescent="0.25">
      <c r="D7" s="65" t="s">
        <v>67</v>
      </c>
      <c r="E7" s="75">
        <v>0</v>
      </c>
      <c r="F7" s="75">
        <v>0</v>
      </c>
      <c r="G7" s="75">
        <v>1.400000000016919E-3</v>
      </c>
      <c r="H7" s="75">
        <v>1.800000000039294E-3</v>
      </c>
      <c r="I7" s="75">
        <v>1.99999999999818E-4</v>
      </c>
      <c r="J7" s="75">
        <v>2.2999999998774031E-3</v>
      </c>
      <c r="K7" s="75">
        <v>0.1453000000002426</v>
      </c>
      <c r="L7" s="75">
        <v>2.729999999971373E-2</v>
      </c>
      <c r="M7" s="75">
        <v>1.0999999998557541E-3</v>
      </c>
      <c r="N7" s="75">
        <v>2.1999999999939047E-2</v>
      </c>
      <c r="O7" s="75">
        <v>0.81059999999997234</v>
      </c>
      <c r="P7" s="76">
        <v>1.2057000000000651</v>
      </c>
    </row>
    <row r="8" spans="4:16" x14ac:dyDescent="0.25">
      <c r="D8" s="65" t="s">
        <v>69</v>
      </c>
      <c r="E8" s="75">
        <v>1.800000000039294E-3</v>
      </c>
      <c r="F8" s="75">
        <v>4.1000000000758503E-3</v>
      </c>
      <c r="G8" s="75">
        <v>4.9999999997726256E-3</v>
      </c>
      <c r="H8" s="75">
        <v>0</v>
      </c>
      <c r="I8" s="75">
        <v>0</v>
      </c>
      <c r="J8" s="75">
        <v>4.8999999999341515E-3</v>
      </c>
      <c r="K8" s="75">
        <v>0.13970000000012581</v>
      </c>
      <c r="L8" s="75">
        <v>1.0099999999870301E-2</v>
      </c>
      <c r="M8" s="75">
        <v>3.0299999999765501E-2</v>
      </c>
      <c r="N8" s="75">
        <v>2.1900000000264288E-2</v>
      </c>
      <c r="O8" s="75">
        <v>0.86299999999991561</v>
      </c>
      <c r="P8" s="76">
        <v>0.96040000000014092</v>
      </c>
    </row>
    <row r="9" spans="4:16" x14ac:dyDescent="0.25">
      <c r="D9" s="65" t="s">
        <v>71</v>
      </c>
      <c r="E9" s="75">
        <v>0</v>
      </c>
      <c r="F9" s="75">
        <v>1.0000000000218301E-4</v>
      </c>
      <c r="G9" s="75">
        <v>2.9999999999745302E-4</v>
      </c>
      <c r="H9" s="75">
        <v>1.900000000041477E-3</v>
      </c>
      <c r="I9" s="75">
        <v>0</v>
      </c>
      <c r="J9" s="75">
        <v>1.2699999999931639E-2</v>
      </c>
      <c r="K9" s="75">
        <v>0.1162999999998196</v>
      </c>
      <c r="L9" s="75">
        <v>1.1399999999907744E-2</v>
      </c>
      <c r="M9" s="75">
        <v>4.5999999999321514E-3</v>
      </c>
      <c r="N9" s="75">
        <v>3.2100000000000344E-2</v>
      </c>
      <c r="O9" s="75">
        <v>0.46090000000014691</v>
      </c>
      <c r="P9" s="76">
        <v>0.90649999999974606</v>
      </c>
    </row>
    <row r="10" spans="4:16" x14ac:dyDescent="0.25">
      <c r="D10" s="65" t="s">
        <v>73</v>
      </c>
      <c r="E10" s="75">
        <v>0</v>
      </c>
      <c r="F10" s="75">
        <v>0</v>
      </c>
      <c r="G10" s="75">
        <v>2.6999999997315209E-3</v>
      </c>
      <c r="H10" s="75">
        <v>3.5999999999148688E-3</v>
      </c>
      <c r="I10" s="75">
        <v>9.0000000001964702E-4</v>
      </c>
      <c r="J10" s="75">
        <v>1.1200000000235346E-2</v>
      </c>
      <c r="K10" s="75">
        <v>0.1087000000001713</v>
      </c>
      <c r="L10" s="75">
        <v>1.800000000039294E-3</v>
      </c>
      <c r="M10" s="75">
        <v>3.6000000000785785E-3</v>
      </c>
      <c r="N10" s="75">
        <v>2.35999999998103E-2</v>
      </c>
      <c r="O10" s="75">
        <v>0.41229999999959061</v>
      </c>
      <c r="P10" s="76">
        <v>0.91099999999993553</v>
      </c>
    </row>
    <row r="11" spans="4:16" x14ac:dyDescent="0.25">
      <c r="D11" s="65" t="s">
        <v>75</v>
      </c>
      <c r="E11" s="75">
        <v>0</v>
      </c>
      <c r="F11" s="75">
        <v>1.0000000000218301E-4</v>
      </c>
      <c r="G11" s="75">
        <v>1.100000000024013E-3</v>
      </c>
      <c r="H11" s="75">
        <v>1.99999999999818E-4</v>
      </c>
      <c r="I11" s="75">
        <v>0</v>
      </c>
      <c r="J11" s="75">
        <v>3.99999999999636E-4</v>
      </c>
      <c r="K11" s="75">
        <v>0.1059000000002881</v>
      </c>
      <c r="L11" s="75">
        <v>3.7999999999146867E-3</v>
      </c>
      <c r="M11" s="75">
        <v>9.8000000000274846E-3</v>
      </c>
      <c r="N11" s="75">
        <v>1.5599999999990321E-2</v>
      </c>
      <c r="O11" s="75">
        <v>0.23490000000020722</v>
      </c>
      <c r="P11" s="76">
        <v>0.3669999999998661</v>
      </c>
    </row>
    <row r="12" spans="4:16" x14ac:dyDescent="0.25">
      <c r="D12" s="65" t="s">
        <v>77</v>
      </c>
      <c r="E12" s="75">
        <v>1.0000000000218301E-4</v>
      </c>
      <c r="F12" s="75">
        <v>1.900000000041477E-3</v>
      </c>
      <c r="G12" s="75">
        <v>2.7000000000589317E-3</v>
      </c>
      <c r="H12" s="75">
        <v>0</v>
      </c>
      <c r="I12" s="75">
        <v>0</v>
      </c>
      <c r="J12" s="75">
        <v>8.4000000001788061E-3</v>
      </c>
      <c r="K12" s="75">
        <v>0.12400000000017379</v>
      </c>
      <c r="L12" s="75">
        <v>1.4000000000214661E-3</v>
      </c>
      <c r="M12" s="75">
        <v>2.6800000000043879E-2</v>
      </c>
      <c r="N12" s="75">
        <v>2.2999999999806238E-2</v>
      </c>
      <c r="O12" s="75">
        <v>0.45649999999982849</v>
      </c>
      <c r="P12" s="76">
        <v>0.75750000000013229</v>
      </c>
    </row>
    <row r="13" spans="4:16" x14ac:dyDescent="0.25">
      <c r="D13" s="65" t="s">
        <v>79</v>
      </c>
      <c r="E13" s="75">
        <v>0</v>
      </c>
      <c r="F13" s="75">
        <v>2.100000000041295E-3</v>
      </c>
      <c r="G13" s="75">
        <v>2.1999999998752197E-3</v>
      </c>
      <c r="H13" s="75">
        <v>0</v>
      </c>
      <c r="I13" s="75">
        <v>0</v>
      </c>
      <c r="J13" s="75">
        <v>1.1800000000075641E-2</v>
      </c>
      <c r="K13" s="76">
        <v>0.24680000000002128</v>
      </c>
      <c r="L13" s="75">
        <v>1.8100000000054E-2</v>
      </c>
      <c r="M13" s="75">
        <v>8.7000000001808062E-3</v>
      </c>
      <c r="N13" s="75">
        <v>1.5399999999663169E-2</v>
      </c>
      <c r="O13" s="75">
        <v>0.2135999999998334</v>
      </c>
      <c r="P13" s="75">
        <v>0.19060000000014921</v>
      </c>
    </row>
    <row r="14" spans="4:16" x14ac:dyDescent="0.25">
      <c r="D14" s="65" t="s">
        <v>81</v>
      </c>
      <c r="E14" s="75">
        <v>0</v>
      </c>
      <c r="F14" s="75">
        <v>1.800000000039294E-3</v>
      </c>
      <c r="G14" s="75">
        <v>7.2999999999956303E-3</v>
      </c>
      <c r="H14" s="75">
        <v>1.800000000039294E-3</v>
      </c>
      <c r="I14" s="75">
        <v>1.800000000039294E-3</v>
      </c>
      <c r="J14" s="75">
        <v>3.3999999998923121E-3</v>
      </c>
      <c r="K14" s="75">
        <v>0.1234999999998307</v>
      </c>
      <c r="L14" s="75">
        <v>2.3700000000144453E-2</v>
      </c>
      <c r="M14" s="75">
        <v>2.5800000000017441E-2</v>
      </c>
      <c r="N14" s="75">
        <v>1.399999999994635E-2</v>
      </c>
      <c r="O14" s="75">
        <v>0.47559999999999453</v>
      </c>
      <c r="P14" s="76">
        <v>0.64239999999973896</v>
      </c>
    </row>
    <row r="15" spans="4:16" x14ac:dyDescent="0.25">
      <c r="D15" s="65" t="s">
        <v>83</v>
      </c>
      <c r="E15" s="75">
        <v>0</v>
      </c>
      <c r="F15" s="75">
        <v>1.8999999998732192E-3</v>
      </c>
      <c r="G15" s="75">
        <v>4.7999999999365165E-3</v>
      </c>
      <c r="H15" s="75">
        <v>0</v>
      </c>
      <c r="I15" s="75">
        <v>2.7000000000589317E-3</v>
      </c>
      <c r="J15" s="75">
        <v>5.3000000000974984E-3</v>
      </c>
      <c r="K15" s="75">
        <v>0.20750000000003149</v>
      </c>
      <c r="L15" s="75">
        <v>1.2000000000261949E-3</v>
      </c>
      <c r="M15" s="75">
        <v>3.4000000000742117E-3</v>
      </c>
      <c r="N15" s="75">
        <v>1.389999999994871E-2</v>
      </c>
      <c r="O15" s="76">
        <v>2.769000000000259</v>
      </c>
      <c r="P15" s="75">
        <v>0.1424999999999137</v>
      </c>
    </row>
    <row r="16" spans="4:16" x14ac:dyDescent="0.25">
      <c r="D16" s="65" t="s">
        <v>85</v>
      </c>
      <c r="E16" s="75">
        <v>1.9999999999527102E-4</v>
      </c>
      <c r="F16" s="75">
        <v>2.9999999999745302E-4</v>
      </c>
      <c r="G16" s="75">
        <v>1.4000000000123709E-3</v>
      </c>
      <c r="H16" s="75">
        <v>0</v>
      </c>
      <c r="I16" s="75">
        <v>1.7999999998755838E-3</v>
      </c>
      <c r="J16" s="75">
        <v>4.1999999999097759E-3</v>
      </c>
      <c r="K16" s="75">
        <v>0.35789999999964489</v>
      </c>
      <c r="L16" s="75">
        <v>1.2700000000086253E-2</v>
      </c>
      <c r="M16" s="75">
        <v>3.1399999999975989E-2</v>
      </c>
      <c r="N16" s="75">
        <v>3.1400000000148802E-2</v>
      </c>
      <c r="O16" s="76">
        <v>0.62349999999993977</v>
      </c>
      <c r="P16" s="75">
        <v>0.11439999999983194</v>
      </c>
    </row>
    <row r="17" spans="4:16" x14ac:dyDescent="0.25">
      <c r="D17" s="65" t="s">
        <v>87</v>
      </c>
      <c r="E17" s="75">
        <v>0</v>
      </c>
      <c r="F17" s="75">
        <v>8.9999999985593618E-4</v>
      </c>
      <c r="G17" s="75">
        <v>5.0000000000909499E-3</v>
      </c>
      <c r="H17" s="75">
        <v>3.6000000000785785E-3</v>
      </c>
      <c r="I17" s="75">
        <v>0</v>
      </c>
      <c r="J17" s="75">
        <v>3.1999999998879461E-3</v>
      </c>
      <c r="K17" s="75">
        <v>0.15700000000000769</v>
      </c>
      <c r="L17" s="75">
        <v>1.909999999972567E-2</v>
      </c>
      <c r="M17" s="75">
        <v>2.9999999999745302E-4</v>
      </c>
      <c r="N17" s="75">
        <v>6.3399999999965068E-2</v>
      </c>
      <c r="O17" s="75">
        <v>0.4485000000001495</v>
      </c>
      <c r="P17" s="76">
        <v>0.82210000000015537</v>
      </c>
    </row>
    <row r="18" spans="4:16" x14ac:dyDescent="0.25">
      <c r="D18" s="65" t="s">
        <v>88</v>
      </c>
      <c r="E18" s="75">
        <v>0</v>
      </c>
      <c r="F18" s="75">
        <v>9.9999999993087796E-5</v>
      </c>
      <c r="G18" s="75">
        <v>1.00000000002183E-3</v>
      </c>
      <c r="H18" s="75">
        <v>3.99999999999636E-4</v>
      </c>
      <c r="I18" s="75">
        <v>0</v>
      </c>
      <c r="J18" s="75">
        <v>2.3000000000411129E-3</v>
      </c>
      <c r="K18" s="75">
        <v>0.33119999999989863</v>
      </c>
      <c r="L18" s="75">
        <v>1.100000000022191E-2</v>
      </c>
      <c r="M18" s="75">
        <v>1.6499999999823579E-2</v>
      </c>
      <c r="N18" s="75">
        <v>3.05000000002747E-2</v>
      </c>
      <c r="O18" s="75">
        <v>0.79440000000016864</v>
      </c>
      <c r="P18" s="76">
        <v>1.1181999999999153</v>
      </c>
    </row>
    <row r="19" spans="4:16" x14ac:dyDescent="0.25">
      <c r="D19" s="65" t="s">
        <v>90</v>
      </c>
      <c r="E19" s="75">
        <v>0</v>
      </c>
      <c r="F19" s="75">
        <v>2.8999999998904932E-3</v>
      </c>
      <c r="G19" s="75">
        <v>6.6000000001258732E-3</v>
      </c>
      <c r="H19" s="75">
        <v>3.9999999999054101E-4</v>
      </c>
      <c r="I19" s="75">
        <v>2.00000000004366E-3</v>
      </c>
      <c r="J19" s="75">
        <v>2.8400000000247009E-2</v>
      </c>
      <c r="K19" s="75">
        <v>0.2634999999998221</v>
      </c>
      <c r="L19" s="75">
        <v>4.0000000000782144E-3</v>
      </c>
      <c r="M19" s="75">
        <v>6.3400000000310666E-2</v>
      </c>
      <c r="N19" s="75">
        <v>5.4699999999948005E-2</v>
      </c>
      <c r="O19" s="75">
        <v>0.47889999999963961</v>
      </c>
      <c r="P19" s="76">
        <v>0.89149999999972318</v>
      </c>
    </row>
    <row r="20" spans="4:16" x14ac:dyDescent="0.25">
      <c r="D20" s="65" t="s">
        <v>92</v>
      </c>
      <c r="E20" s="75">
        <v>0</v>
      </c>
      <c r="F20" s="75">
        <v>1.800000000039294E-3</v>
      </c>
      <c r="G20" s="75">
        <v>1.800000000039294E-3</v>
      </c>
      <c r="H20" s="75">
        <v>5.7000000001153264E-3</v>
      </c>
      <c r="I20" s="75">
        <v>1.3999999998668502E-3</v>
      </c>
      <c r="J20" s="75">
        <v>1.3600000000287769E-2</v>
      </c>
      <c r="K20" s="75">
        <v>1.5645000000000069</v>
      </c>
      <c r="L20" s="75">
        <v>1.489999999928841E-2</v>
      </c>
      <c r="M20" s="75">
        <v>0.51090000000032909</v>
      </c>
      <c r="N20" s="75">
        <v>6.5300000000643163E-2</v>
      </c>
      <c r="O20" s="76">
        <v>1.948000000000875</v>
      </c>
      <c r="P20" s="75">
        <v>1.0631999999992607</v>
      </c>
    </row>
    <row r="21" spans="4:16" x14ac:dyDescent="0.25">
      <c r="D21" s="65" t="s">
        <v>94</v>
      </c>
      <c r="E21" s="75">
        <v>0</v>
      </c>
      <c r="F21" s="75">
        <v>2.0000000000436601E-4</v>
      </c>
      <c r="G21" s="75">
        <v>2.2000000000480251E-3</v>
      </c>
      <c r="H21" s="75">
        <v>2.699999999895222E-3</v>
      </c>
      <c r="I21" s="75">
        <v>2.0000000000345648E-3</v>
      </c>
      <c r="J21" s="75">
        <v>1.270000000010444E-2</v>
      </c>
      <c r="K21" s="76">
        <v>0.78540000000021803</v>
      </c>
      <c r="L21" s="75">
        <v>1.999999999991816E-2</v>
      </c>
      <c r="M21" s="75">
        <v>3.9999999997598901E-3</v>
      </c>
      <c r="N21" s="75">
        <v>4.2300000000204785E-2</v>
      </c>
      <c r="O21" s="75">
        <v>0.69520000000051319</v>
      </c>
      <c r="P21" s="75">
        <v>4.7599999999820307E-2</v>
      </c>
    </row>
    <row r="22" spans="4:16" x14ac:dyDescent="0.25">
      <c r="D22" s="65" t="s">
        <v>96</v>
      </c>
      <c r="E22" s="75">
        <v>0</v>
      </c>
      <c r="F22" s="75">
        <v>8.1000000004951278E-3</v>
      </c>
      <c r="G22" s="75">
        <v>1.740000000003419E-2</v>
      </c>
      <c r="H22" s="75">
        <v>1.800000000039294E-3</v>
      </c>
      <c r="I22" s="75">
        <v>1.9000000000323819E-3</v>
      </c>
      <c r="J22" s="75">
        <v>1.9600000000400578E-2</v>
      </c>
      <c r="K22" s="75">
        <v>1.4533000000006091</v>
      </c>
      <c r="L22" s="75">
        <v>6.5800000000163006E-2</v>
      </c>
      <c r="M22" s="75">
        <v>1.2900000000754551E-2</v>
      </c>
      <c r="N22" s="75">
        <v>0.32479999999970471</v>
      </c>
      <c r="O22" s="75">
        <v>2.7661000000001139</v>
      </c>
      <c r="P22" s="76">
        <v>9.4168999999998686</v>
      </c>
    </row>
    <row r="23" spans="4:16" x14ac:dyDescent="0.25">
      <c r="D23" s="65" t="s">
        <v>98</v>
      </c>
      <c r="E23" s="75">
        <v>1.800000000039294E-3</v>
      </c>
      <c r="F23" s="75">
        <v>3.2999999998992243E-3</v>
      </c>
      <c r="G23" s="75">
        <v>6.8000000003121345E-3</v>
      </c>
      <c r="H23" s="75">
        <v>9.000000001833571E-4</v>
      </c>
      <c r="I23" s="75">
        <v>0</v>
      </c>
      <c r="J23" s="75">
        <v>2.2999999999819939E-2</v>
      </c>
      <c r="K23" s="75">
        <v>1.180100000000073</v>
      </c>
      <c r="L23" s="75">
        <v>6.3500000000276502E-2</v>
      </c>
      <c r="M23" s="75">
        <v>8.6899999999750469E-2</v>
      </c>
      <c r="N23" s="75">
        <v>0.30250000000036342</v>
      </c>
      <c r="O23" s="75">
        <v>1.6299999999998209</v>
      </c>
      <c r="P23" s="76">
        <v>6.0929000000006051</v>
      </c>
    </row>
    <row r="24" spans="4:16" x14ac:dyDescent="0.25">
      <c r="D24" s="65" t="s">
        <v>100</v>
      </c>
      <c r="E24" s="75">
        <v>0</v>
      </c>
      <c r="F24" s="75">
        <v>8.6000000010244583E-3</v>
      </c>
      <c r="G24" s="75">
        <v>8.7800000001807307E-2</v>
      </c>
      <c r="H24" s="75">
        <v>2.9999999998835803E-4</v>
      </c>
      <c r="I24" s="75">
        <v>7.5000000014551864E-3</v>
      </c>
      <c r="J24" s="75">
        <v>0.14459999999780859</v>
      </c>
      <c r="K24" s="76">
        <v>9.1664000000002126</v>
      </c>
      <c r="L24" s="75">
        <v>0.90039999999913523</v>
      </c>
      <c r="M24" s="75">
        <v>7.7899999999353875E-2</v>
      </c>
      <c r="N24" s="75">
        <v>3.6821999999988453</v>
      </c>
      <c r="O24" s="75">
        <v>4.6495000000025879</v>
      </c>
      <c r="P24" s="75">
        <v>7.1196999999974642</v>
      </c>
    </row>
    <row r="25" spans="4:16" x14ac:dyDescent="0.25">
      <c r="D25" s="65" t="s">
        <v>102</v>
      </c>
      <c r="E25" s="75">
        <v>8.9999999952851796E-4</v>
      </c>
      <c r="F25" s="75">
        <v>5.4999999998108255E-3</v>
      </c>
      <c r="G25" s="75">
        <v>6.8000000005849848E-3</v>
      </c>
      <c r="H25" s="75">
        <v>1.0099999998055862E-2</v>
      </c>
      <c r="I25" s="75">
        <v>7.9000000015366778E-3</v>
      </c>
      <c r="J25" s="75">
        <v>7.6999999980762387E-3</v>
      </c>
      <c r="K25" s="75">
        <v>1.4818000000034999</v>
      </c>
      <c r="L25" s="75">
        <v>1.2999999996100089E-3</v>
      </c>
      <c r="M25" s="75">
        <v>3.3999999999650712E-3</v>
      </c>
      <c r="N25" s="75">
        <v>3.1600000001926691E-2</v>
      </c>
      <c r="O25" s="75">
        <v>0.2174000000010709</v>
      </c>
      <c r="P25" s="76">
        <v>35.080100000001728</v>
      </c>
    </row>
    <row r="26" spans="4:16" x14ac:dyDescent="0.25">
      <c r="D26" s="65" t="s">
        <v>104</v>
      </c>
      <c r="E26" s="75">
        <v>0</v>
      </c>
      <c r="F26" s="75">
        <v>7.7358999999987308</v>
      </c>
      <c r="G26" s="75">
        <v>4.1582999999992136</v>
      </c>
      <c r="H26" s="75">
        <v>1.279999999795111E-2</v>
      </c>
      <c r="I26" s="75">
        <v>2.260000000103897E-2</v>
      </c>
      <c r="J26" s="75">
        <v>14.014499999997321</v>
      </c>
      <c r="K26" s="75">
        <v>19.412499999998271</v>
      </c>
      <c r="L26" s="75">
        <v>0.67309999999888492</v>
      </c>
      <c r="M26" s="75">
        <v>0.20479999999806789</v>
      </c>
      <c r="N26" s="75">
        <v>101.78430000000188</v>
      </c>
      <c r="O26" s="75">
        <v>16.01529999999725</v>
      </c>
      <c r="P26" s="76">
        <v>108.1970000000001</v>
      </c>
    </row>
    <row r="27" spans="4:16" x14ac:dyDescent="0.25">
      <c r="D27" s="65" t="s">
        <v>106</v>
      </c>
      <c r="E27" s="75">
        <v>3.7000000007537917E-3</v>
      </c>
      <c r="F27" s="75">
        <v>0.17279999999802431</v>
      </c>
      <c r="G27" s="75">
        <v>0.23810000000208648</v>
      </c>
      <c r="H27" s="75">
        <v>5.9999999997671699E-3</v>
      </c>
      <c r="I27" s="75">
        <v>1.77000000019325E-2</v>
      </c>
      <c r="J27" s="75">
        <v>0.62210000000035481</v>
      </c>
      <c r="K27" s="76">
        <v>23.69710000000206</v>
      </c>
      <c r="L27" s="75">
        <v>3.4016999999994728</v>
      </c>
      <c r="M27" s="75">
        <v>0.29140000000283162</v>
      </c>
      <c r="N27" s="75">
        <v>20.622799999996928</v>
      </c>
      <c r="O27" s="75">
        <v>5.9422999999979913</v>
      </c>
      <c r="P27" s="75">
        <v>21.97879999999784</v>
      </c>
    </row>
    <row r="28" spans="4:16" x14ac:dyDescent="0.25">
      <c r="D28" s="65" t="s">
        <v>108</v>
      </c>
      <c r="E28" s="75">
        <v>0</v>
      </c>
      <c r="F28" s="75">
        <v>1.6900000002642659E-2</v>
      </c>
      <c r="G28" s="75">
        <v>3.0900000002293419E-2</v>
      </c>
      <c r="H28" s="75">
        <v>4.1999999993277051E-3</v>
      </c>
      <c r="I28" s="75">
        <v>0</v>
      </c>
      <c r="J28" s="75">
        <v>1.0000000000727621E-2</v>
      </c>
      <c r="K28" s="75">
        <v>0.88239999999968832</v>
      </c>
      <c r="L28" s="75">
        <v>3.5900000002802711E-2</v>
      </c>
      <c r="M28" s="75">
        <v>0.20880000000099211</v>
      </c>
      <c r="N28" s="75">
        <v>0.2385999999994966</v>
      </c>
      <c r="O28" s="76">
        <v>1.540699999998616</v>
      </c>
      <c r="P28" s="75">
        <v>0.41120000000089973</v>
      </c>
    </row>
    <row r="29" spans="4:16" x14ac:dyDescent="0.25">
      <c r="D29" s="65" t="s">
        <v>110</v>
      </c>
      <c r="E29" s="75">
        <v>1.7999999999983619E-3</v>
      </c>
      <c r="F29" s="75">
        <v>8.5999999999148667E-3</v>
      </c>
      <c r="G29" s="75">
        <v>8.1999999999470691E-3</v>
      </c>
      <c r="H29" s="75">
        <v>1.9999999996798599E-4</v>
      </c>
      <c r="I29" s="75">
        <v>0</v>
      </c>
      <c r="J29" s="75">
        <v>9.299999999946058E-3</v>
      </c>
      <c r="K29" s="75">
        <v>0.4869999999999482</v>
      </c>
      <c r="L29" s="75">
        <v>4.0399999999763188E-2</v>
      </c>
      <c r="M29" s="75">
        <v>0.19670000000000049</v>
      </c>
      <c r="N29" s="75">
        <v>0.2059999999999515</v>
      </c>
      <c r="O29" s="75">
        <v>2.0244999999999811</v>
      </c>
      <c r="P29" s="76">
        <v>4.7931999999999757</v>
      </c>
    </row>
    <row r="30" spans="4:16" x14ac:dyDescent="0.25">
      <c r="D30" s="65" t="s">
        <v>112</v>
      </c>
      <c r="E30" s="75">
        <v>0</v>
      </c>
      <c r="F30" s="75">
        <v>1.470000000006619E-2</v>
      </c>
      <c r="G30" s="75">
        <v>5.100000000074943E-3</v>
      </c>
      <c r="H30" s="75">
        <v>0</v>
      </c>
      <c r="I30" s="75">
        <v>2.6999999997315209E-3</v>
      </c>
      <c r="J30" s="75">
        <v>1.6100000000114922E-2</v>
      </c>
      <c r="K30" s="75">
        <v>0.48720000000028446</v>
      </c>
      <c r="L30" s="75">
        <v>6.4399999999786822E-2</v>
      </c>
      <c r="M30" s="75">
        <v>0.14860000000011492</v>
      </c>
      <c r="N30" s="75">
        <v>0.2833000000002544</v>
      </c>
      <c r="O30" s="75">
        <v>2.6971999999995178</v>
      </c>
      <c r="P30" s="76">
        <v>3.5017000000001981</v>
      </c>
    </row>
    <row r="31" spans="4:16" x14ac:dyDescent="0.25">
      <c r="D31" s="65" t="s">
        <v>114</v>
      </c>
      <c r="E31" s="75">
        <v>9.0000000001964702E-4</v>
      </c>
      <c r="F31" s="75">
        <v>1.380000000004657E-2</v>
      </c>
      <c r="G31" s="75">
        <v>2.1200000000280859E-2</v>
      </c>
      <c r="H31" s="75">
        <v>1.9999999996798599E-4</v>
      </c>
      <c r="I31" s="75">
        <v>2.7000000000589317E-3</v>
      </c>
      <c r="J31" s="75">
        <v>4.9199999999673331E-2</v>
      </c>
      <c r="K31" s="75">
        <v>0.59850000000000325</v>
      </c>
      <c r="L31" s="75">
        <v>9.5399999999954188E-2</v>
      </c>
      <c r="M31" s="75">
        <v>0.48470000000032126</v>
      </c>
      <c r="N31" s="75">
        <v>0.28370000000033563</v>
      </c>
      <c r="O31" s="75">
        <v>1.1073999999997615</v>
      </c>
      <c r="P31" s="76">
        <v>3.1956999999999391</v>
      </c>
    </row>
    <row r="32" spans="4:16" x14ac:dyDescent="0.25">
      <c r="D32" s="65" t="s">
        <v>116</v>
      </c>
      <c r="E32" s="75">
        <v>0</v>
      </c>
      <c r="F32" s="75">
        <v>7.1999999999206943E-3</v>
      </c>
      <c r="G32" s="75">
        <v>7.2000000001753543E-3</v>
      </c>
      <c r="H32" s="75">
        <v>0</v>
      </c>
      <c r="I32" s="75">
        <v>9.0000000001964702E-4</v>
      </c>
      <c r="J32" s="75">
        <v>3.2800000000224809E-2</v>
      </c>
      <c r="K32" s="75">
        <v>0.37210000000028221</v>
      </c>
      <c r="L32" s="75">
        <v>0.1095999999995369</v>
      </c>
      <c r="M32" s="75">
        <v>0.14510000000023832</v>
      </c>
      <c r="N32" s="75">
        <v>0.27030000000002502</v>
      </c>
      <c r="O32" s="76">
        <v>9.3972999999998521</v>
      </c>
      <c r="P32" s="75">
        <v>0.84809999999992192</v>
      </c>
    </row>
    <row r="33" spans="4:16" x14ac:dyDescent="0.25">
      <c r="D33" s="65" t="s">
        <v>118</v>
      </c>
      <c r="E33" s="75">
        <v>0</v>
      </c>
      <c r="F33" s="75">
        <v>1.5800000002927823E-2</v>
      </c>
      <c r="G33" s="75">
        <v>8.84999999993306E-2</v>
      </c>
      <c r="H33" s="75">
        <v>2.0000000002619311E-3</v>
      </c>
      <c r="I33" s="75">
        <v>0</v>
      </c>
      <c r="J33" s="75">
        <v>3.479999999894063E-2</v>
      </c>
      <c r="K33" s="75">
        <v>0.73429999999876561</v>
      </c>
      <c r="L33" s="75">
        <v>3.0299999999988319E-2</v>
      </c>
      <c r="M33" s="75">
        <v>1.2500000000000035E-2</v>
      </c>
      <c r="N33" s="75">
        <v>0.86209999999831755</v>
      </c>
      <c r="O33" s="75">
        <v>0.27160000000003459</v>
      </c>
      <c r="P33" s="76">
        <v>5.1087000000006855</v>
      </c>
    </row>
    <row r="34" spans="4:16" x14ac:dyDescent="0.25">
      <c r="D34" s="65" t="s">
        <v>120</v>
      </c>
      <c r="E34" s="75">
        <v>9.9999999947613104E-5</v>
      </c>
      <c r="F34" s="75">
        <v>1.9000000003143182E-3</v>
      </c>
      <c r="G34" s="75">
        <v>1.3200000001961641E-2</v>
      </c>
      <c r="H34" s="75">
        <v>0</v>
      </c>
      <c r="I34" s="75">
        <v>1.8000000003667051E-3</v>
      </c>
      <c r="J34" s="75">
        <v>3.8999999992665869E-3</v>
      </c>
      <c r="K34" s="75">
        <v>0.43840000000185703</v>
      </c>
      <c r="L34" s="75">
        <v>1.8999999990046471E-3</v>
      </c>
      <c r="M34" s="75">
        <v>1.509999999936552E-2</v>
      </c>
      <c r="N34" s="75">
        <v>7.5800000000162973E-2</v>
      </c>
      <c r="O34" s="75">
        <v>0.43980000000025032</v>
      </c>
      <c r="P34" s="76">
        <v>3.7024999999992687</v>
      </c>
    </row>
    <row r="35" spans="4:16" x14ac:dyDescent="0.25">
      <c r="D35" s="65" t="s">
        <v>122</v>
      </c>
      <c r="E35" s="75">
        <v>9.9999999947613104E-5</v>
      </c>
      <c r="F35" s="75">
        <v>5.8999999998195565E-3</v>
      </c>
      <c r="G35" s="75">
        <v>6.5999999997438828E-3</v>
      </c>
      <c r="H35" s="75">
        <v>1.799999999057034E-3</v>
      </c>
      <c r="I35" s="75">
        <v>8.9999999952851796E-4</v>
      </c>
      <c r="J35" s="75">
        <v>3.4300000001094261E-2</v>
      </c>
      <c r="K35" s="75">
        <v>9.4800000001123444E-2</v>
      </c>
      <c r="L35" s="75">
        <v>1.1000000008789331E-3</v>
      </c>
      <c r="M35" s="75">
        <v>3.7000000006810318E-3</v>
      </c>
      <c r="N35" s="75">
        <v>4.5100000002275882E-2</v>
      </c>
      <c r="O35" s="75">
        <v>0.57319999999963323</v>
      </c>
      <c r="P35" s="76">
        <v>1.0979999999963941</v>
      </c>
    </row>
    <row r="36" spans="4:16" x14ac:dyDescent="0.25">
      <c r="D36" s="65" t="s">
        <v>124</v>
      </c>
      <c r="E36" s="75">
        <v>9.0000000083818789E-4</v>
      </c>
      <c r="F36" s="75">
        <v>0.67100000000122217</v>
      </c>
      <c r="G36" s="75">
        <v>0.72559999999924896</v>
      </c>
      <c r="H36" s="75">
        <v>2.0999999991909118E-3</v>
      </c>
      <c r="I36" s="75">
        <v>2.100000000500583E-3</v>
      </c>
      <c r="J36" s="75">
        <v>0.95050000000017476</v>
      </c>
      <c r="K36" s="75">
        <v>3.341800000004004</v>
      </c>
      <c r="L36" s="75">
        <v>7.9999999997526203E-2</v>
      </c>
      <c r="M36" s="75">
        <v>4.9000000003434265E-3</v>
      </c>
      <c r="N36" s="75">
        <v>5.7718999999995857</v>
      </c>
      <c r="O36" s="75">
        <v>0.54350000000224097</v>
      </c>
      <c r="P36" s="76">
        <v>7.0336000000011678</v>
      </c>
    </row>
    <row r="37" spans="4:16" x14ac:dyDescent="0.25">
      <c r="D37" s="65" t="s">
        <v>126</v>
      </c>
      <c r="E37" s="75">
        <v>0</v>
      </c>
      <c r="F37" s="75">
        <v>1.999999999097779E-3</v>
      </c>
      <c r="G37" s="75">
        <v>7.9000000028463576E-3</v>
      </c>
      <c r="H37" s="75">
        <v>0</v>
      </c>
      <c r="I37" s="75">
        <v>1.0000000007858011E-3</v>
      </c>
      <c r="J37" s="75">
        <v>3.7999999994644926E-3</v>
      </c>
      <c r="K37" s="75">
        <v>0.78490000000107107</v>
      </c>
      <c r="L37" s="75">
        <v>9.699999999138521E-3</v>
      </c>
      <c r="M37" s="75">
        <v>3.6400000001303848E-2</v>
      </c>
      <c r="N37" s="75">
        <v>0.18199999999706071</v>
      </c>
      <c r="O37" s="75">
        <v>0.19430000000225808</v>
      </c>
      <c r="P37" s="76">
        <v>1.078400000001714</v>
      </c>
    </row>
    <row r="38" spans="4:16" x14ac:dyDescent="0.25">
      <c r="D38" s="65" t="s">
        <v>128</v>
      </c>
      <c r="E38" s="75">
        <v>8.9999999821884511E-4</v>
      </c>
      <c r="F38" s="75">
        <v>3.9999999981955589E-3</v>
      </c>
      <c r="G38" s="75">
        <v>4.1000000033818654E-3</v>
      </c>
      <c r="H38" s="75">
        <v>2.00000000171713E-3</v>
      </c>
      <c r="I38" s="75">
        <v>1.8000000016763849E-3</v>
      </c>
      <c r="J38" s="75">
        <v>5.4000000015366817E-3</v>
      </c>
      <c r="K38" s="75">
        <v>0.1413000000022295</v>
      </c>
      <c r="L38" s="75">
        <v>9.8999999978695973E-3</v>
      </c>
      <c r="M38" s="75">
        <v>1.719999999811991E-2</v>
      </c>
      <c r="N38" s="75">
        <v>1.9400000003515713E-2</v>
      </c>
      <c r="O38" s="76">
        <v>1.5813999999967949</v>
      </c>
      <c r="P38" s="75">
        <v>0.78310000000114055</v>
      </c>
    </row>
    <row r="39" spans="4:16" x14ac:dyDescent="0.25">
      <c r="D39" s="65" t="s">
        <v>130</v>
      </c>
      <c r="E39" s="75">
        <v>0</v>
      </c>
      <c r="F39" s="75">
        <v>8.9999999821884511E-4</v>
      </c>
      <c r="G39" s="75">
        <v>0</v>
      </c>
      <c r="H39" s="75">
        <v>0</v>
      </c>
      <c r="I39" s="75">
        <v>2.6999999972758797E-3</v>
      </c>
      <c r="J39" s="75">
        <v>3.2000000025436768E-3</v>
      </c>
      <c r="K39" s="75">
        <v>0.1778000000008616</v>
      </c>
      <c r="L39" s="75">
        <v>1.2100000004866161E-2</v>
      </c>
      <c r="M39" s="75">
        <v>2.5599999998084932E-2</v>
      </c>
      <c r="N39" s="75">
        <v>1.1299999993352731E-2</v>
      </c>
      <c r="O39" s="76">
        <v>0.20949999999342228</v>
      </c>
      <c r="P39" s="75">
        <v>0.10430000000167618</v>
      </c>
    </row>
    <row r="40" spans="4:16" x14ac:dyDescent="0.25">
      <c r="D40" s="65" t="s">
        <v>132</v>
      </c>
      <c r="E40" s="75">
        <v>0</v>
      </c>
      <c r="F40" s="75">
        <v>2.00000000040745E-4</v>
      </c>
      <c r="G40" s="75">
        <v>0</v>
      </c>
      <c r="H40" s="75">
        <v>0</v>
      </c>
      <c r="I40" s="75">
        <v>1.9999999989522599E-4</v>
      </c>
      <c r="J40" s="75">
        <v>6.2999999999010479E-3</v>
      </c>
      <c r="K40" s="75">
        <v>0.36559999999852144</v>
      </c>
      <c r="L40" s="75">
        <v>6.9000000058440508E-3</v>
      </c>
      <c r="M40" s="75">
        <v>8.1900000000750886E-2</v>
      </c>
      <c r="N40" s="75">
        <v>1.0399999994988319E-2</v>
      </c>
      <c r="O40" s="76">
        <v>1.2960999999978271</v>
      </c>
      <c r="P40" s="75">
        <v>0.42230000000432483</v>
      </c>
    </row>
    <row r="41" spans="4:16" x14ac:dyDescent="0.25">
      <c r="D41" s="65" t="s">
        <v>134</v>
      </c>
      <c r="E41" s="75">
        <v>1.799999999057034E-3</v>
      </c>
      <c r="F41" s="75">
        <v>2.00000000171713E-3</v>
      </c>
      <c r="G41" s="75">
        <v>1.8999999990046471E-3</v>
      </c>
      <c r="H41" s="75">
        <v>2.1000000018102627E-3</v>
      </c>
      <c r="I41" s="75">
        <v>1.8999999990046471E-3</v>
      </c>
      <c r="J41" s="75">
        <v>1.6700000001001199E-2</v>
      </c>
      <c r="K41" s="75">
        <v>0.31469999999666509</v>
      </c>
      <c r="L41" s="75">
        <v>3.0999999998311939E-3</v>
      </c>
      <c r="M41" s="75">
        <v>4.4099999998288716E-2</v>
      </c>
      <c r="N41" s="75">
        <v>2.8900000000576253E-2</v>
      </c>
      <c r="O41" s="75">
        <v>0.40109999999986068</v>
      </c>
      <c r="P41" s="76">
        <v>1.269900000005145</v>
      </c>
    </row>
    <row r="42" spans="4:16" x14ac:dyDescent="0.25">
      <c r="D42" s="65" t="s">
        <v>136</v>
      </c>
      <c r="E42" s="75">
        <v>1.9999999989522599E-4</v>
      </c>
      <c r="F42" s="75">
        <v>2.1000000016647429E-3</v>
      </c>
      <c r="G42" s="75">
        <v>5.8000000023457673E-3</v>
      </c>
      <c r="H42" s="75">
        <v>1.00000000093132E-4</v>
      </c>
      <c r="I42" s="75">
        <v>0</v>
      </c>
      <c r="J42" s="75">
        <v>4.1000000007625232E-3</v>
      </c>
      <c r="K42" s="75">
        <v>0.13380000000397579</v>
      </c>
      <c r="L42" s="75">
        <v>2.0500000001775358E-2</v>
      </c>
      <c r="M42" s="75">
        <v>3.0999999999621681E-2</v>
      </c>
      <c r="N42" s="75">
        <v>1.5299999996786899E-2</v>
      </c>
      <c r="O42" s="75">
        <v>0.79890000000203187</v>
      </c>
      <c r="P42" s="76">
        <v>0.99840000000011064</v>
      </c>
    </row>
    <row r="43" spans="4:16" x14ac:dyDescent="0.25">
      <c r="D43" s="65" t="s">
        <v>138</v>
      </c>
      <c r="E43" s="75">
        <v>0</v>
      </c>
      <c r="F43" s="75">
        <v>1.2300000000104809E-2</v>
      </c>
      <c r="G43" s="75">
        <v>7.1999999988474877E-3</v>
      </c>
      <c r="H43" s="75">
        <v>9.9999999947613104E-5</v>
      </c>
      <c r="I43" s="75">
        <v>4.0000000008149099E-4</v>
      </c>
      <c r="J43" s="75">
        <v>2.899999997316625E-3</v>
      </c>
      <c r="K43" s="75">
        <v>0.76910000000047107</v>
      </c>
      <c r="L43" s="75">
        <v>3.9099999999307307E-2</v>
      </c>
      <c r="M43" s="75">
        <v>4.2699999997712401E-2</v>
      </c>
      <c r="N43" s="75">
        <v>0.20390000000217678</v>
      </c>
      <c r="O43" s="75">
        <v>0.46300000000483132</v>
      </c>
      <c r="P43" s="76">
        <v>4.1933000000027789</v>
      </c>
    </row>
    <row r="44" spans="4:16" x14ac:dyDescent="0.25">
      <c r="D44" s="65" t="s">
        <v>140</v>
      </c>
      <c r="E44" s="75">
        <v>0</v>
      </c>
      <c r="F44" s="75">
        <v>1.1699999997217714E-2</v>
      </c>
      <c r="G44" s="75">
        <v>5.4000000016822015E-3</v>
      </c>
      <c r="H44" s="75">
        <v>1.799999999057034E-3</v>
      </c>
      <c r="I44" s="75">
        <v>2.1000000018102627E-3</v>
      </c>
      <c r="J44" s="75">
        <v>2.9999999998835802E-3</v>
      </c>
      <c r="K44" s="75">
        <v>0.64269999999814853</v>
      </c>
      <c r="L44" s="75">
        <v>1.7699999996402739E-2</v>
      </c>
      <c r="M44" s="75">
        <v>1.6099999998405123E-2</v>
      </c>
      <c r="N44" s="75">
        <v>0.1123999999996159</v>
      </c>
      <c r="O44" s="75">
        <v>0.80099999999962157</v>
      </c>
      <c r="P44" s="76">
        <v>3.9135000000006377</v>
      </c>
    </row>
    <row r="45" spans="4:16" x14ac:dyDescent="0.25">
      <c r="D45" s="65" t="s">
        <v>142</v>
      </c>
      <c r="E45" s="75">
        <v>0</v>
      </c>
      <c r="F45" s="75">
        <v>4.1000000007625232E-3</v>
      </c>
      <c r="G45" s="75">
        <v>3.3999999973457289E-3</v>
      </c>
      <c r="H45" s="75">
        <v>1.8000000016763849E-3</v>
      </c>
      <c r="I45" s="75">
        <v>4.5000000015716071E-3</v>
      </c>
      <c r="J45" s="75">
        <v>4.4700000004377245E-2</v>
      </c>
      <c r="K45" s="75">
        <v>0.30000000000014543</v>
      </c>
      <c r="L45" s="75">
        <v>4.3999999981315296E-3</v>
      </c>
      <c r="M45" s="75">
        <v>6.580000000147268E-2</v>
      </c>
      <c r="N45" s="75">
        <v>7.6999999996187424E-2</v>
      </c>
      <c r="O45" s="75">
        <v>0.4059000000015654</v>
      </c>
      <c r="P45" s="76">
        <v>2.2297999999995253</v>
      </c>
    </row>
    <row r="46" spans="4:16" x14ac:dyDescent="0.25">
      <c r="D46" s="65" t="s">
        <v>144</v>
      </c>
      <c r="E46" s="75">
        <v>9.9999999947613104E-5</v>
      </c>
      <c r="F46" s="75">
        <v>2.00000000040745E-4</v>
      </c>
      <c r="G46" s="75">
        <v>5.2900000002846358E-2</v>
      </c>
      <c r="H46" s="75">
        <v>2.00000000171713E-3</v>
      </c>
      <c r="I46" s="75">
        <v>1.8999999991501661E-3</v>
      </c>
      <c r="J46" s="75">
        <v>7.0399999997316595E-2</v>
      </c>
      <c r="K46" s="75">
        <v>0.49289999999731698</v>
      </c>
      <c r="L46" s="75">
        <v>0.2326999999978577</v>
      </c>
      <c r="M46" s="75">
        <v>0.1629000000003723</v>
      </c>
      <c r="N46" s="75">
        <v>0.54329999999798051</v>
      </c>
      <c r="O46" s="75">
        <v>1.725600000003757</v>
      </c>
      <c r="P46" s="76">
        <v>7.2651999999991652</v>
      </c>
    </row>
    <row r="47" spans="4:16" x14ac:dyDescent="0.25">
      <c r="D47" s="65" t="s">
        <v>146</v>
      </c>
      <c r="E47" s="75">
        <v>0</v>
      </c>
      <c r="F47" s="75">
        <v>3.4399999995657696E-2</v>
      </c>
      <c r="G47" s="75">
        <v>4.8299999996525005E-2</v>
      </c>
      <c r="H47" s="75">
        <v>1.9999999964784372E-3</v>
      </c>
      <c r="I47" s="75">
        <v>1.799999999057034E-3</v>
      </c>
      <c r="J47" s="75">
        <v>1.4999999999563422E-2</v>
      </c>
      <c r="K47" s="75">
        <v>0.5434000000024386</v>
      </c>
      <c r="L47" s="75">
        <v>5.3999999997904526E-3</v>
      </c>
      <c r="M47" s="75">
        <v>6.5000000000291089E-2</v>
      </c>
      <c r="N47" s="75">
        <v>0.4885999999992785</v>
      </c>
      <c r="O47" s="75">
        <v>1.7663000000047011</v>
      </c>
      <c r="P47" s="76">
        <v>8.6464000000021777</v>
      </c>
    </row>
    <row r="48" spans="4:16" x14ac:dyDescent="0.25">
      <c r="D48" s="65" t="s">
        <v>148</v>
      </c>
      <c r="E48" s="75">
        <v>8.9999999821884511E-4</v>
      </c>
      <c r="F48" s="75">
        <v>6.6000000006169995E-3</v>
      </c>
      <c r="G48" s="75">
        <v>1.0300000003771872E-2</v>
      </c>
      <c r="H48" s="75">
        <v>1.1000000008789331E-3</v>
      </c>
      <c r="I48" s="75">
        <v>3.599999998114068E-3</v>
      </c>
      <c r="J48" s="75">
        <v>0.12929999999803829</v>
      </c>
      <c r="K48" s="75">
        <v>0.40020000000164158</v>
      </c>
      <c r="L48" s="75">
        <v>0.23179999999774709</v>
      </c>
      <c r="M48" s="75">
        <v>0.12039999999658878</v>
      </c>
      <c r="N48" s="75">
        <v>0.55530000000260793</v>
      </c>
      <c r="O48" s="75">
        <v>0.78500000000261949</v>
      </c>
      <c r="P48" s="76">
        <v>9.402799999998388</v>
      </c>
    </row>
    <row r="49" spans="4:16" x14ac:dyDescent="0.25">
      <c r="D49" s="65" t="s">
        <v>150</v>
      </c>
      <c r="E49" s="75">
        <v>0</v>
      </c>
      <c r="F49" s="75">
        <v>4.300000000366711E-3</v>
      </c>
      <c r="G49" s="75">
        <v>8.5999999946216148E-3</v>
      </c>
      <c r="H49" s="75">
        <v>0</v>
      </c>
      <c r="I49" s="75">
        <v>9.9999999816645824E-4</v>
      </c>
      <c r="J49" s="75">
        <v>3.0000000000291E-3</v>
      </c>
      <c r="K49" s="75">
        <v>0.26950000000360913</v>
      </c>
      <c r="L49" s="75">
        <v>1.0699999998760163E-2</v>
      </c>
      <c r="M49" s="75">
        <v>4.959999999584401E-2</v>
      </c>
      <c r="N49" s="75">
        <v>5.6100000006845237E-2</v>
      </c>
      <c r="O49" s="75">
        <v>0.40299999999740999</v>
      </c>
      <c r="P49" s="76">
        <v>2.1169000000014822</v>
      </c>
    </row>
    <row r="50" spans="4:16" x14ac:dyDescent="0.25">
      <c r="D50" s="65" t="s">
        <v>152</v>
      </c>
      <c r="E50" s="75">
        <v>1.799999999057034E-3</v>
      </c>
      <c r="F50" s="75">
        <v>4.539999999571593E-2</v>
      </c>
      <c r="G50" s="75">
        <v>3.8300000001036109E-2</v>
      </c>
      <c r="H50" s="75">
        <v>2.300000001851008E-3</v>
      </c>
      <c r="I50" s="75">
        <v>2.2999999963212773E-3</v>
      </c>
      <c r="J50" s="75">
        <v>3.8200000003853381E-2</v>
      </c>
      <c r="K50" s="75">
        <v>0.90140000000043097</v>
      </c>
      <c r="L50" s="75">
        <v>2.540000000095459E-2</v>
      </c>
      <c r="M50" s="75">
        <v>0.18579999999506991</v>
      </c>
      <c r="N50" s="75">
        <v>1.0580000000017749</v>
      </c>
      <c r="O50" s="75">
        <v>2.3846000000022478</v>
      </c>
      <c r="P50" s="76">
        <v>8.4973999999942293</v>
      </c>
    </row>
    <row r="51" spans="4:16" x14ac:dyDescent="0.25">
      <c r="D51" s="65" t="s">
        <v>154</v>
      </c>
      <c r="E51" s="75">
        <v>2.699999999895222E-3</v>
      </c>
      <c r="F51" s="75">
        <v>0.19050000000177511</v>
      </c>
      <c r="G51" s="75">
        <v>0.12060000000186841</v>
      </c>
      <c r="H51" s="75">
        <v>5.3000000015890692E-3</v>
      </c>
      <c r="I51" s="75">
        <v>4.8999999987427165E-3</v>
      </c>
      <c r="J51" s="75">
        <v>1.370000000431904E-2</v>
      </c>
      <c r="K51" s="75">
        <v>0.35889999999970279</v>
      </c>
      <c r="L51" s="75">
        <v>4.5000000015716071E-3</v>
      </c>
      <c r="M51" s="75">
        <v>1.3200000005745069E-2</v>
      </c>
      <c r="N51" s="75">
        <v>2.523299999998708</v>
      </c>
      <c r="O51" s="75">
        <v>0.8330999999988129</v>
      </c>
      <c r="P51" s="76">
        <v>19.843599999996393</v>
      </c>
    </row>
    <row r="52" spans="4:16" x14ac:dyDescent="0.25">
      <c r="D52" s="65" t="s">
        <v>156</v>
      </c>
      <c r="E52" s="75">
        <v>0</v>
      </c>
      <c r="F52" s="75">
        <v>8.4999999971478238E-3</v>
      </c>
      <c r="G52" s="75">
        <v>0.52110000000073364</v>
      </c>
      <c r="H52" s="75">
        <v>2.699999999895222E-3</v>
      </c>
      <c r="I52" s="75">
        <v>3.099999999976713E-3</v>
      </c>
      <c r="J52" s="75">
        <v>1.540000000240979E-2</v>
      </c>
      <c r="K52" s="75">
        <v>1.2276000000012539</v>
      </c>
      <c r="L52" s="75">
        <v>5.9999999946739957E-3</v>
      </c>
      <c r="M52" s="75">
        <v>3.2799999998678664E-2</v>
      </c>
      <c r="N52" s="76">
        <v>3.1531000000002658</v>
      </c>
      <c r="O52" s="75">
        <v>1.2745000000041875</v>
      </c>
      <c r="P52" s="75">
        <v>1.915100000002715</v>
      </c>
    </row>
    <row r="53" spans="4:16" x14ac:dyDescent="0.25">
      <c r="D53" s="65" t="s">
        <v>158</v>
      </c>
      <c r="E53" s="75">
        <v>9.0000000083818789E-4</v>
      </c>
      <c r="F53" s="75">
        <v>0.269300000000949</v>
      </c>
      <c r="G53" s="75">
        <v>4.9299999997310794E-2</v>
      </c>
      <c r="H53" s="75">
        <v>1.0400000004156043E-2</v>
      </c>
      <c r="I53" s="75">
        <v>8.3999999970546923E-3</v>
      </c>
      <c r="J53" s="75">
        <v>8.2799999998242127E-2</v>
      </c>
      <c r="K53" s="75">
        <v>1.195999999999477</v>
      </c>
      <c r="L53" s="75">
        <v>1.3066999999985238</v>
      </c>
      <c r="M53" s="75">
        <v>3.369999999980796E-2</v>
      </c>
      <c r="N53" s="75">
        <v>3.5483999999986588</v>
      </c>
      <c r="O53" s="75">
        <v>0.65670000000129236</v>
      </c>
      <c r="P53" s="76">
        <v>43.801000000006333</v>
      </c>
    </row>
    <row r="54" spans="4:16" x14ac:dyDescent="0.25">
      <c r="D54" s="65" t="s">
        <v>160</v>
      </c>
      <c r="E54" s="75">
        <v>9.9999999947613104E-5</v>
      </c>
      <c r="F54" s="75">
        <v>7.1000000007916224E-3</v>
      </c>
      <c r="G54" s="75">
        <v>0.1472999999948664</v>
      </c>
      <c r="H54" s="75">
        <v>5.3000000015890692E-3</v>
      </c>
      <c r="I54" s="75">
        <v>1.1000000008789331E-3</v>
      </c>
      <c r="J54" s="75">
        <v>0.14480000000170512</v>
      </c>
      <c r="K54" s="75">
        <v>0.91150000000023246</v>
      </c>
      <c r="L54" s="75">
        <v>2.659999999901632E-2</v>
      </c>
      <c r="M54" s="75">
        <v>1.290000000051808E-2</v>
      </c>
      <c r="N54" s="75">
        <v>1.8093999999953632</v>
      </c>
      <c r="O54" s="75">
        <v>0.93299999999697358</v>
      </c>
      <c r="P54" s="76">
        <v>21.40999999999536</v>
      </c>
    </row>
    <row r="55" spans="4:16" x14ac:dyDescent="0.25">
      <c r="D55" s="65" t="s">
        <v>162</v>
      </c>
      <c r="E55" s="75">
        <v>0</v>
      </c>
      <c r="F55" s="75">
        <v>7.0000000001018678E-2</v>
      </c>
      <c r="G55" s="75">
        <v>7.940000000075087E-2</v>
      </c>
      <c r="H55" s="75">
        <v>2.8999999999359673E-3</v>
      </c>
      <c r="I55" s="75">
        <v>5.5999999998311983E-3</v>
      </c>
      <c r="J55" s="75">
        <v>0.1809000000011288</v>
      </c>
      <c r="K55" s="75">
        <v>0.62830000000496522</v>
      </c>
      <c r="L55" s="75">
        <v>0.24219999999753739</v>
      </c>
      <c r="M55" s="75">
        <v>7.4300000005314393E-2</v>
      </c>
      <c r="N55" s="75">
        <v>0.63250000000014528</v>
      </c>
      <c r="O55" s="75">
        <v>0.87710000000311938</v>
      </c>
      <c r="P55" s="76">
        <v>3.7353000000061041</v>
      </c>
    </row>
    <row r="56" spans="4:16" x14ac:dyDescent="0.25">
      <c r="D56" s="65" t="s">
        <v>164</v>
      </c>
      <c r="E56" s="75">
        <v>1.9999999989522599E-4</v>
      </c>
      <c r="F56" s="75">
        <v>7.2599999993981312E-2</v>
      </c>
      <c r="G56" s="75">
        <v>8.5600000002304999E-2</v>
      </c>
      <c r="H56" s="75">
        <v>8.499999999767166E-3</v>
      </c>
      <c r="I56" s="75">
        <v>3.6000000007334189E-3</v>
      </c>
      <c r="J56" s="75">
        <v>1.7900000001827728E-2</v>
      </c>
      <c r="K56" s="75">
        <v>1.1997999999986531</v>
      </c>
      <c r="L56" s="75">
        <v>3.2500000001455184E-2</v>
      </c>
      <c r="M56" s="75">
        <v>5.759999999878343E-2</v>
      </c>
      <c r="N56" s="75">
        <v>0.7348000000006869</v>
      </c>
      <c r="O56" s="75">
        <v>0.79149999999382981</v>
      </c>
      <c r="P56" s="76">
        <v>7.6612999999994607</v>
      </c>
    </row>
    <row r="57" spans="4:16" x14ac:dyDescent="0.25">
      <c r="D57" s="65" t="s">
        <v>166</v>
      </c>
      <c r="E57" s="75">
        <v>0</v>
      </c>
      <c r="F57" s="75">
        <v>2.00000000040745E-4</v>
      </c>
      <c r="G57" s="75">
        <v>1.66999999988184E-2</v>
      </c>
      <c r="H57" s="75">
        <v>1.8000000016763849E-3</v>
      </c>
      <c r="I57" s="75">
        <v>3.9999999993597197E-4</v>
      </c>
      <c r="J57" s="75">
        <v>1.7999999994208298E-2</v>
      </c>
      <c r="K57" s="75">
        <v>0.81429999999803848</v>
      </c>
      <c r="L57" s="75">
        <v>0.139400000003952</v>
      </c>
      <c r="M57" s="75">
        <v>5.4700000006123468E-2</v>
      </c>
      <c r="N57" s="75">
        <v>0.80330000000074464</v>
      </c>
      <c r="O57" s="75">
        <v>0.37289999999818962</v>
      </c>
      <c r="P57" s="76">
        <v>13.663799999996369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3CA8E-F650-445D-B09D-99D553F0313C}">
  <dimension ref="C6:AF43"/>
  <sheetViews>
    <sheetView zoomScale="85" zoomScaleNormal="85" workbookViewId="0">
      <selection activeCell="K41" sqref="K41"/>
    </sheetView>
  </sheetViews>
  <sheetFormatPr defaultRowHeight="15" x14ac:dyDescent="0.25"/>
  <cols>
    <col min="23" max="23" width="11.85546875" bestFit="1" customWidth="1"/>
    <col min="30" max="30" width="6.7109375" bestFit="1" customWidth="1"/>
  </cols>
  <sheetData>
    <row r="6" spans="3:32" x14ac:dyDescent="0.25">
      <c r="C6" s="22" t="s">
        <v>184</v>
      </c>
      <c r="D6" s="22" t="s">
        <v>183</v>
      </c>
      <c r="E6" s="25" t="s">
        <v>0</v>
      </c>
      <c r="F6" s="25" t="s">
        <v>1</v>
      </c>
      <c r="G6" s="25" t="s">
        <v>2</v>
      </c>
      <c r="H6" s="25" t="s">
        <v>3</v>
      </c>
      <c r="I6" s="25" t="s">
        <v>4</v>
      </c>
      <c r="J6" s="25" t="s">
        <v>5</v>
      </c>
      <c r="K6" s="25" t="s">
        <v>6</v>
      </c>
      <c r="L6" s="25" t="s">
        <v>7</v>
      </c>
      <c r="M6" s="25" t="s">
        <v>8</v>
      </c>
      <c r="N6" s="25" t="s">
        <v>9</v>
      </c>
      <c r="O6" s="25" t="s">
        <v>10</v>
      </c>
      <c r="P6" s="25" t="s">
        <v>11</v>
      </c>
    </row>
    <row r="7" spans="3:32" x14ac:dyDescent="0.25">
      <c r="C7" s="66" t="s">
        <v>180</v>
      </c>
      <c r="D7" s="22" t="s">
        <v>178</v>
      </c>
      <c r="E7" s="26">
        <v>8.8773584905660385</v>
      </c>
      <c r="F7" s="26">
        <v>6.5471698113207548</v>
      </c>
      <c r="G7" s="26">
        <v>5.7358490566037732</v>
      </c>
      <c r="H7" s="26">
        <v>6.1415094339622645</v>
      </c>
      <c r="I7" s="26">
        <v>6.6037735849056602</v>
      </c>
      <c r="J7" s="26">
        <v>5.1886792452830193</v>
      </c>
      <c r="K7" s="26">
        <v>6.7641509433962268</v>
      </c>
      <c r="L7" s="26">
        <v>8.4245283018867916</v>
      </c>
      <c r="M7" s="26">
        <v>6.8962264150943398</v>
      </c>
      <c r="N7" s="26">
        <v>4.7075471698113205</v>
      </c>
      <c r="O7" s="26">
        <v>7.6698113207547172</v>
      </c>
      <c r="P7" s="27">
        <v>4.4433962264150946</v>
      </c>
      <c r="V7" s="22" t="s">
        <v>184</v>
      </c>
      <c r="W7" s="22" t="s">
        <v>183</v>
      </c>
      <c r="X7" s="18" t="s">
        <v>178</v>
      </c>
      <c r="Y7" s="18" t="s">
        <v>172</v>
      </c>
      <c r="Z7" s="18" t="s">
        <v>173</v>
      </c>
      <c r="AA7" s="18" t="s">
        <v>174</v>
      </c>
      <c r="AB7" s="18" t="s">
        <v>175</v>
      </c>
      <c r="AC7" s="18" t="s">
        <v>179</v>
      </c>
      <c r="AD7" s="18" t="s">
        <v>176</v>
      </c>
      <c r="AE7" s="18" t="s">
        <v>177</v>
      </c>
      <c r="AF7" s="38" t="s">
        <v>170</v>
      </c>
    </row>
    <row r="8" spans="3:32" x14ac:dyDescent="0.25">
      <c r="C8" s="67"/>
      <c r="D8" s="23" t="s">
        <v>172</v>
      </c>
      <c r="E8" s="8">
        <v>7.5471698113207548</v>
      </c>
      <c r="F8" s="8">
        <v>7.6603773584905657</v>
      </c>
      <c r="G8" s="8">
        <v>6.1509433962264151</v>
      </c>
      <c r="H8" s="8">
        <v>5.8018867924528301</v>
      </c>
      <c r="I8" s="8">
        <v>6.1981132075471699</v>
      </c>
      <c r="J8" s="8">
        <v>6.0188679245283021</v>
      </c>
      <c r="K8" s="8">
        <v>7.0660377358490569</v>
      </c>
      <c r="L8" s="8">
        <v>6.6509433962264151</v>
      </c>
      <c r="M8" s="8">
        <v>6.0471698113207548</v>
      </c>
      <c r="N8" s="8">
        <v>6.7358490566037732</v>
      </c>
      <c r="O8" s="8">
        <v>6.5566037735849054</v>
      </c>
      <c r="P8" s="9">
        <v>5.5660377358490569</v>
      </c>
      <c r="V8" s="66" t="s">
        <v>180</v>
      </c>
      <c r="W8" s="22" t="s">
        <v>0</v>
      </c>
      <c r="X8" s="34">
        <v>8.8773584905660385</v>
      </c>
      <c r="Y8" s="34">
        <v>7.5471698113207548</v>
      </c>
      <c r="Z8" s="34">
        <v>6.8490566037735849</v>
      </c>
      <c r="AA8" s="34">
        <v>6.4150943396226419</v>
      </c>
      <c r="AB8" s="34">
        <v>6.0094339622641506</v>
      </c>
      <c r="AC8" s="34">
        <v>6.8490566037735849</v>
      </c>
      <c r="AD8" s="34">
        <v>6.0094339622641506</v>
      </c>
      <c r="AE8" s="34">
        <v>7.5377358490566042</v>
      </c>
      <c r="AF8" s="39">
        <v>7.0117924528301891</v>
      </c>
    </row>
    <row r="9" spans="3:32" x14ac:dyDescent="0.25">
      <c r="C9" s="67"/>
      <c r="D9" s="23" t="s">
        <v>173</v>
      </c>
      <c r="E9" s="8">
        <v>6.8490566037735849</v>
      </c>
      <c r="F9" s="8">
        <v>8.3490566037735849</v>
      </c>
      <c r="G9" s="8">
        <v>6.0943396226415096</v>
      </c>
      <c r="H9" s="8">
        <v>6.1698113207547172</v>
      </c>
      <c r="I9" s="8">
        <v>6.3962264150943398</v>
      </c>
      <c r="J9" s="8">
        <v>6.367924528301887</v>
      </c>
      <c r="K9" s="8">
        <v>7.0094339622641506</v>
      </c>
      <c r="L9" s="8">
        <v>6.5188679245283021</v>
      </c>
      <c r="M9" s="8">
        <v>6.5849056603773581</v>
      </c>
      <c r="N9" s="8">
        <v>6.6603773584905657</v>
      </c>
      <c r="O9" s="8">
        <v>6.9245283018867925</v>
      </c>
      <c r="P9" s="9">
        <v>4.0754716981132075</v>
      </c>
      <c r="V9" s="67"/>
      <c r="W9" s="23" t="s">
        <v>1</v>
      </c>
      <c r="X9" s="21">
        <v>6.5471698113207548</v>
      </c>
      <c r="Y9" s="21">
        <v>7.6603773584905657</v>
      </c>
      <c r="Z9" s="21">
        <v>8.3490566037735849</v>
      </c>
      <c r="AA9" s="21">
        <v>6.0094339622641506</v>
      </c>
      <c r="AB9" s="21">
        <v>8.1037735849056602</v>
      </c>
      <c r="AC9" s="21">
        <v>6.9528301886792452</v>
      </c>
      <c r="AD9" s="21">
        <v>6.3867924528301883</v>
      </c>
      <c r="AE9" s="21">
        <v>5.8396226415094343</v>
      </c>
      <c r="AF9" s="40">
        <v>6.9811320754716979</v>
      </c>
    </row>
    <row r="10" spans="3:32" x14ac:dyDescent="0.25">
      <c r="C10" s="67"/>
      <c r="D10" s="23" t="s">
        <v>174</v>
      </c>
      <c r="E10" s="8">
        <v>6.4150943396226419</v>
      </c>
      <c r="F10" s="8">
        <v>6.0094339622641506</v>
      </c>
      <c r="G10" s="8">
        <v>6.3962264150943398</v>
      </c>
      <c r="H10" s="8">
        <v>5.716981132075472</v>
      </c>
      <c r="I10" s="8">
        <v>7.6037735849056602</v>
      </c>
      <c r="J10" s="9">
        <v>4.8490566037735849</v>
      </c>
      <c r="K10" s="8">
        <v>6.7924528301886795</v>
      </c>
      <c r="L10" s="8">
        <v>6.6509433962264151</v>
      </c>
      <c r="M10" s="8">
        <v>6.7452830188679247</v>
      </c>
      <c r="N10" s="8">
        <v>8.1037735849056602</v>
      </c>
      <c r="O10" s="8">
        <v>7.7641509433962268</v>
      </c>
      <c r="P10" s="8">
        <v>4.9528301886792452</v>
      </c>
      <c r="V10" s="67"/>
      <c r="W10" s="23" t="s">
        <v>2</v>
      </c>
      <c r="X10" s="21">
        <v>5.7358490566037732</v>
      </c>
      <c r="Y10" s="21">
        <v>6.1509433962264151</v>
      </c>
      <c r="Z10" s="21">
        <v>6.0943396226415096</v>
      </c>
      <c r="AA10" s="21">
        <v>6.3962264150943398</v>
      </c>
      <c r="AB10" s="21">
        <v>6.216981132075472</v>
      </c>
      <c r="AC10" s="21">
        <v>7.2547169811320753</v>
      </c>
      <c r="AD10" s="21">
        <v>6.9150943396226419</v>
      </c>
      <c r="AE10" s="21">
        <v>5.9339622641509431</v>
      </c>
      <c r="AF10" s="40">
        <v>6.3372641509433958</v>
      </c>
    </row>
    <row r="11" spans="3:32" x14ac:dyDescent="0.25">
      <c r="C11" s="67"/>
      <c r="D11" s="23" t="s">
        <v>175</v>
      </c>
      <c r="E11" s="8">
        <v>6.0094339622641506</v>
      </c>
      <c r="F11" s="8">
        <v>8.1037735849056602</v>
      </c>
      <c r="G11" s="8">
        <v>6.216981132075472</v>
      </c>
      <c r="H11" s="8">
        <v>5.5283018867924527</v>
      </c>
      <c r="I11" s="8">
        <v>6.8301886792452828</v>
      </c>
      <c r="J11" s="8">
        <v>6.9150943396226419</v>
      </c>
      <c r="K11" s="8">
        <v>7.3018867924528301</v>
      </c>
      <c r="L11" s="8">
        <v>6.7264150943396226</v>
      </c>
      <c r="M11" s="8">
        <v>6.1981132075471699</v>
      </c>
      <c r="N11" s="8">
        <v>7.0849056603773581</v>
      </c>
      <c r="O11" s="8">
        <v>6.1981132075471699</v>
      </c>
      <c r="P11" s="9">
        <v>4.8867924528301883</v>
      </c>
      <c r="V11" s="67"/>
      <c r="W11" s="23" t="s">
        <v>3</v>
      </c>
      <c r="X11" s="21">
        <v>6.1415094339622645</v>
      </c>
      <c r="Y11" s="21">
        <v>5.8018867924528301</v>
      </c>
      <c r="Z11" s="21">
        <v>6.1698113207547172</v>
      </c>
      <c r="AA11" s="21">
        <v>5.716981132075472</v>
      </c>
      <c r="AB11" s="21">
        <v>5.5283018867924527</v>
      </c>
      <c r="AC11" s="21">
        <v>6.716981132075472</v>
      </c>
      <c r="AD11" s="21">
        <v>5.6415094339622645</v>
      </c>
      <c r="AE11" s="21">
        <v>6.4905660377358494</v>
      </c>
      <c r="AF11" s="40">
        <v>6.0259433962264151</v>
      </c>
    </row>
    <row r="12" spans="3:32" x14ac:dyDescent="0.25">
      <c r="C12" s="67"/>
      <c r="D12" s="23" t="s">
        <v>179</v>
      </c>
      <c r="E12" s="8">
        <v>6.8490566037735849</v>
      </c>
      <c r="F12" s="8">
        <v>6.9528301886792452</v>
      </c>
      <c r="G12" s="8">
        <v>7.2547169811320753</v>
      </c>
      <c r="H12" s="8">
        <v>6.716981132075472</v>
      </c>
      <c r="I12" s="8">
        <v>5.2264150943396226</v>
      </c>
      <c r="J12" s="8">
        <v>5.1981132075471699</v>
      </c>
      <c r="K12" s="8">
        <v>6.9811320754716979</v>
      </c>
      <c r="L12" s="8">
        <v>7.4433962264150946</v>
      </c>
      <c r="M12" s="8">
        <v>6.783018867924528</v>
      </c>
      <c r="N12" s="8">
        <v>7.4245283018867925</v>
      </c>
      <c r="O12" s="8">
        <v>7.1132075471698117</v>
      </c>
      <c r="P12" s="9">
        <v>4.0566037735849054</v>
      </c>
      <c r="V12" s="67"/>
      <c r="W12" s="23" t="s">
        <v>4</v>
      </c>
      <c r="X12" s="21">
        <v>6.6037735849056602</v>
      </c>
      <c r="Y12" s="21">
        <v>6.1981132075471699</v>
      </c>
      <c r="Z12" s="21">
        <v>6.3962264150943398</v>
      </c>
      <c r="AA12" s="21">
        <v>7.6037735849056602</v>
      </c>
      <c r="AB12" s="21">
        <v>6.8301886792452828</v>
      </c>
      <c r="AC12" s="21">
        <v>5.2264150943396226</v>
      </c>
      <c r="AD12" s="21">
        <v>7.6226415094339623</v>
      </c>
      <c r="AE12" s="21">
        <v>7.0094339622641506</v>
      </c>
      <c r="AF12" s="40">
        <v>6.6863207547169807</v>
      </c>
    </row>
    <row r="13" spans="3:32" x14ac:dyDescent="0.25">
      <c r="C13" s="67"/>
      <c r="D13" s="23" t="s">
        <v>176</v>
      </c>
      <c r="E13" s="8">
        <v>6.0094339622641506</v>
      </c>
      <c r="F13" s="8">
        <v>6.3867924528301883</v>
      </c>
      <c r="G13" s="8">
        <v>6.9150943396226419</v>
      </c>
      <c r="H13" s="8">
        <v>5.6415094339622645</v>
      </c>
      <c r="I13" s="8">
        <v>7.6226415094339623</v>
      </c>
      <c r="J13" s="8">
        <v>6.1415094339622645</v>
      </c>
      <c r="K13" s="8">
        <v>7.2735849056603774</v>
      </c>
      <c r="L13" s="8">
        <v>6.216981132075472</v>
      </c>
      <c r="M13" s="8">
        <v>6.6886792452830193</v>
      </c>
      <c r="N13" s="8">
        <v>6.9339622641509431</v>
      </c>
      <c r="O13" s="8">
        <v>6.5566037735849054</v>
      </c>
      <c r="P13" s="9">
        <v>5.6132075471698117</v>
      </c>
      <c r="V13" s="67"/>
      <c r="W13" s="23" t="s">
        <v>5</v>
      </c>
      <c r="X13" s="21">
        <v>5.1886792452830193</v>
      </c>
      <c r="Y13" s="21">
        <v>6.0188679245283021</v>
      </c>
      <c r="Z13" s="21">
        <v>6.367924528301887</v>
      </c>
      <c r="AA13" s="20">
        <v>4.8490566037735849</v>
      </c>
      <c r="AB13" s="21">
        <v>6.9150943396226419</v>
      </c>
      <c r="AC13" s="21">
        <v>5.1981132075471699</v>
      </c>
      <c r="AD13" s="21">
        <v>6.1415094339622645</v>
      </c>
      <c r="AE13" s="21">
        <v>5.5943396226415096</v>
      </c>
      <c r="AF13" s="40">
        <v>5.7841981132075473</v>
      </c>
    </row>
    <row r="14" spans="3:32" x14ac:dyDescent="0.25">
      <c r="C14" s="67"/>
      <c r="D14" s="23" t="s">
        <v>177</v>
      </c>
      <c r="E14" s="8">
        <v>7.5377358490566042</v>
      </c>
      <c r="F14" s="8">
        <v>5.8396226415094343</v>
      </c>
      <c r="G14" s="8">
        <v>5.9339622641509431</v>
      </c>
      <c r="H14" s="8">
        <v>6.4905660377358494</v>
      </c>
      <c r="I14" s="8">
        <v>7.0094339622641506</v>
      </c>
      <c r="J14" s="8">
        <v>5.5943396226415096</v>
      </c>
      <c r="K14" s="8">
        <v>6.7264150943396226</v>
      </c>
      <c r="L14" s="8">
        <v>7.3584905660377355</v>
      </c>
      <c r="M14" s="8">
        <v>6.2452830188679247</v>
      </c>
      <c r="N14" s="8">
        <v>6.5943396226415096</v>
      </c>
      <c r="O14" s="8">
        <v>7.6603773584905657</v>
      </c>
      <c r="P14" s="9">
        <v>5.0094339622641506</v>
      </c>
      <c r="V14" s="67"/>
      <c r="W14" s="23" t="s">
        <v>6</v>
      </c>
      <c r="X14" s="21">
        <v>6.7641509433962268</v>
      </c>
      <c r="Y14" s="21">
        <v>7.0660377358490569</v>
      </c>
      <c r="Z14" s="21">
        <v>7.0094339622641506</v>
      </c>
      <c r="AA14" s="21">
        <v>6.7924528301886795</v>
      </c>
      <c r="AB14" s="21">
        <v>7.3018867924528301</v>
      </c>
      <c r="AC14" s="21">
        <v>6.9811320754716979</v>
      </c>
      <c r="AD14" s="21">
        <v>7.2735849056603774</v>
      </c>
      <c r="AE14" s="21">
        <v>6.7264150943396226</v>
      </c>
      <c r="AF14" s="40">
        <v>6.9893867924528301</v>
      </c>
    </row>
    <row r="15" spans="3:32" x14ac:dyDescent="0.25">
      <c r="C15" s="68"/>
      <c r="D15" s="3" t="s">
        <v>170</v>
      </c>
      <c r="E15" s="10">
        <v>7.0117924528301891</v>
      </c>
      <c r="F15" s="10">
        <v>6.9811320754716979</v>
      </c>
      <c r="G15" s="10">
        <v>6.3372641509433958</v>
      </c>
      <c r="H15" s="10">
        <v>6.0259433962264151</v>
      </c>
      <c r="I15" s="10">
        <v>6.6863207547169807</v>
      </c>
      <c r="J15" s="10">
        <v>5.7841981132075473</v>
      </c>
      <c r="K15" s="10">
        <v>6.9893867924528301</v>
      </c>
      <c r="L15" s="10">
        <v>6.9988207547169807</v>
      </c>
      <c r="M15" s="10">
        <v>6.5235849056603774</v>
      </c>
      <c r="N15" s="10">
        <v>6.7806603773584904</v>
      </c>
      <c r="O15" s="10">
        <v>7.055424528301887</v>
      </c>
      <c r="P15" s="11">
        <v>4.8254716981132075</v>
      </c>
      <c r="V15" s="67"/>
      <c r="W15" s="23" t="s">
        <v>7</v>
      </c>
      <c r="X15" s="21">
        <v>8.4245283018867916</v>
      </c>
      <c r="Y15" s="21">
        <v>6.6509433962264151</v>
      </c>
      <c r="Z15" s="21">
        <v>6.5188679245283021</v>
      </c>
      <c r="AA15" s="21">
        <v>6.6509433962264151</v>
      </c>
      <c r="AB15" s="21">
        <v>6.7264150943396226</v>
      </c>
      <c r="AC15" s="21">
        <v>7.4433962264150946</v>
      </c>
      <c r="AD15" s="21">
        <v>6.216981132075472</v>
      </c>
      <c r="AE15" s="21">
        <v>7.3584905660377355</v>
      </c>
      <c r="AF15" s="40">
        <v>6.9988207547169807</v>
      </c>
    </row>
    <row r="16" spans="3:32" x14ac:dyDescent="0.25">
      <c r="C16" s="66" t="s">
        <v>181</v>
      </c>
      <c r="D16" s="22" t="s">
        <v>178</v>
      </c>
      <c r="E16" s="28">
        <v>9.084905660377359</v>
      </c>
      <c r="F16" s="28">
        <v>5.3773584905660377</v>
      </c>
      <c r="G16" s="28">
        <v>5.7075471698113205</v>
      </c>
      <c r="H16" s="28">
        <v>6.0943396226415096</v>
      </c>
      <c r="I16" s="28">
        <v>6.3207547169811322</v>
      </c>
      <c r="J16" s="28">
        <v>4.9905660377358494</v>
      </c>
      <c r="K16" s="28">
        <v>6.1886792452830193</v>
      </c>
      <c r="L16" s="28">
        <v>9.1981132075471699</v>
      </c>
      <c r="M16" s="28">
        <v>6.6981132075471699</v>
      </c>
      <c r="N16" s="28">
        <v>5.5943396226415096</v>
      </c>
      <c r="O16" s="28">
        <v>8.4811320754716988</v>
      </c>
      <c r="P16" s="29">
        <v>4.2641509433962268</v>
      </c>
      <c r="V16" s="67"/>
      <c r="W16" s="23" t="s">
        <v>8</v>
      </c>
      <c r="X16" s="21">
        <v>6.8962264150943398</v>
      </c>
      <c r="Y16" s="21">
        <v>6.0471698113207548</v>
      </c>
      <c r="Z16" s="21">
        <v>6.5849056603773581</v>
      </c>
      <c r="AA16" s="21">
        <v>6.7452830188679247</v>
      </c>
      <c r="AB16" s="21">
        <v>6.1981132075471699</v>
      </c>
      <c r="AC16" s="21">
        <v>6.783018867924528</v>
      </c>
      <c r="AD16" s="21">
        <v>6.6886792452830193</v>
      </c>
      <c r="AE16" s="21">
        <v>6.2452830188679247</v>
      </c>
      <c r="AF16" s="40">
        <v>6.5235849056603774</v>
      </c>
    </row>
    <row r="17" spans="3:32" x14ac:dyDescent="0.25">
      <c r="C17" s="67"/>
      <c r="D17" s="23" t="s">
        <v>172</v>
      </c>
      <c r="E17" s="30">
        <v>9.2075471698113205</v>
      </c>
      <c r="F17" s="30">
        <v>7.367924528301887</v>
      </c>
      <c r="G17" s="30">
        <v>6.0471698113207548</v>
      </c>
      <c r="H17" s="30">
        <v>6.283018867924528</v>
      </c>
      <c r="I17" s="30">
        <v>5.283018867924528</v>
      </c>
      <c r="J17" s="30">
        <v>5.4811320754716979</v>
      </c>
      <c r="K17" s="30">
        <v>6.1509433962264151</v>
      </c>
      <c r="L17" s="30">
        <v>7.6698113207547172</v>
      </c>
      <c r="M17" s="30">
        <v>6.0471698113207548</v>
      </c>
      <c r="N17" s="30">
        <v>6.2358490566037732</v>
      </c>
      <c r="O17" s="30">
        <v>7.1886792452830193</v>
      </c>
      <c r="P17" s="31">
        <v>5.0377358490566042</v>
      </c>
      <c r="V17" s="67"/>
      <c r="W17" s="23" t="s">
        <v>9</v>
      </c>
      <c r="X17" s="21">
        <v>4.7075471698113205</v>
      </c>
      <c r="Y17" s="21">
        <v>6.7358490566037732</v>
      </c>
      <c r="Z17" s="21">
        <v>6.6603773584905657</v>
      </c>
      <c r="AA17" s="21">
        <v>8.1037735849056602</v>
      </c>
      <c r="AB17" s="21">
        <v>7.0849056603773581</v>
      </c>
      <c r="AC17" s="21">
        <v>7.4245283018867925</v>
      </c>
      <c r="AD17" s="21">
        <v>6.9339622641509431</v>
      </c>
      <c r="AE17" s="21">
        <v>6.5943396226415096</v>
      </c>
      <c r="AF17" s="40">
        <v>6.7806603773584904</v>
      </c>
    </row>
    <row r="18" spans="3:32" x14ac:dyDescent="0.25">
      <c r="C18" s="67"/>
      <c r="D18" s="23" t="s">
        <v>173</v>
      </c>
      <c r="E18" s="30">
        <v>9.566037735849056</v>
      </c>
      <c r="F18" s="30">
        <v>6.3773584905660377</v>
      </c>
      <c r="G18" s="30">
        <v>5.4622641509433958</v>
      </c>
      <c r="H18" s="30">
        <v>6.2735849056603774</v>
      </c>
      <c r="I18" s="30">
        <v>7.0377358490566042</v>
      </c>
      <c r="J18" s="30">
        <v>5.8301886792452828</v>
      </c>
      <c r="K18" s="30">
        <v>6.7264150943396226</v>
      </c>
      <c r="L18" s="30">
        <v>7.8396226415094343</v>
      </c>
      <c r="M18" s="30">
        <v>5.283018867924528</v>
      </c>
      <c r="N18" s="30">
        <v>6.6132075471698117</v>
      </c>
      <c r="O18" s="30">
        <v>7.0943396226415096</v>
      </c>
      <c r="P18" s="31">
        <v>3.8962264150943398</v>
      </c>
      <c r="V18" s="67"/>
      <c r="W18" s="23" t="s">
        <v>10</v>
      </c>
      <c r="X18" s="21">
        <v>7.6698113207547172</v>
      </c>
      <c r="Y18" s="21">
        <v>6.5566037735849054</v>
      </c>
      <c r="Z18" s="21">
        <v>6.9245283018867925</v>
      </c>
      <c r="AA18" s="21">
        <v>7.7641509433962268</v>
      </c>
      <c r="AB18" s="21">
        <v>6.1981132075471699</v>
      </c>
      <c r="AC18" s="21">
        <v>7.1132075471698117</v>
      </c>
      <c r="AD18" s="21">
        <v>6.5566037735849054</v>
      </c>
      <c r="AE18" s="21">
        <v>7.6603773584905657</v>
      </c>
      <c r="AF18" s="40">
        <v>7.055424528301887</v>
      </c>
    </row>
    <row r="19" spans="3:32" x14ac:dyDescent="0.25">
      <c r="C19" s="67"/>
      <c r="D19" s="23" t="s">
        <v>174</v>
      </c>
      <c r="E19" s="30">
        <v>9.584905660377359</v>
      </c>
      <c r="F19" s="30">
        <v>5.8301886792452828</v>
      </c>
      <c r="G19" s="30">
        <v>6.4433962264150946</v>
      </c>
      <c r="H19" s="30">
        <v>5.9622641509433958</v>
      </c>
      <c r="I19" s="30">
        <v>7.1603773584905657</v>
      </c>
      <c r="J19" s="30">
        <v>6.0283018867924527</v>
      </c>
      <c r="K19" s="30">
        <v>5.5</v>
      </c>
      <c r="L19" s="30">
        <v>6.6226415094339623</v>
      </c>
      <c r="M19" s="30">
        <v>6.8207547169811322</v>
      </c>
      <c r="N19" s="30">
        <v>7.3962264150943398</v>
      </c>
      <c r="O19" s="30">
        <v>6.9339622641509431</v>
      </c>
      <c r="P19" s="31">
        <v>3.7169811320754715</v>
      </c>
      <c r="V19" s="68"/>
      <c r="W19" s="24" t="s">
        <v>11</v>
      </c>
      <c r="X19" s="35">
        <v>4.4433962264150946</v>
      </c>
      <c r="Y19" s="35">
        <v>5.5660377358490569</v>
      </c>
      <c r="Z19" s="35">
        <v>4.0754716981132075</v>
      </c>
      <c r="AA19" s="36">
        <v>4.9528301886792452</v>
      </c>
      <c r="AB19" s="35">
        <v>4.8867924528301883</v>
      </c>
      <c r="AC19" s="35">
        <v>4.0566037735849054</v>
      </c>
      <c r="AD19" s="35">
        <v>5.6132075471698117</v>
      </c>
      <c r="AE19" s="35">
        <v>5.0094339622641506</v>
      </c>
      <c r="AF19" s="41">
        <v>4.8254716981132075</v>
      </c>
    </row>
    <row r="20" spans="3:32" x14ac:dyDescent="0.25">
      <c r="C20" s="67"/>
      <c r="D20" s="23" t="s">
        <v>175</v>
      </c>
      <c r="E20" s="30">
        <v>8.4716981132075464</v>
      </c>
      <c r="F20" s="30">
        <v>7.9056603773584904</v>
      </c>
      <c r="G20" s="30">
        <v>5.867924528301887</v>
      </c>
      <c r="H20" s="30">
        <v>5.9056603773584904</v>
      </c>
      <c r="I20" s="30">
        <v>7.1509433962264151</v>
      </c>
      <c r="J20" s="30">
        <v>6.1603773584905657</v>
      </c>
      <c r="K20" s="30">
        <v>5.8490566037735849</v>
      </c>
      <c r="L20" s="30">
        <v>6.8207547169811322</v>
      </c>
      <c r="M20" s="30">
        <v>6.0943396226415096</v>
      </c>
      <c r="N20" s="30">
        <v>5.9433962264150946</v>
      </c>
      <c r="O20" s="30">
        <v>7.1981132075471699</v>
      </c>
      <c r="P20" s="31">
        <v>4.632075471698113</v>
      </c>
      <c r="V20" s="66" t="s">
        <v>181</v>
      </c>
      <c r="W20" s="22" t="s">
        <v>0</v>
      </c>
      <c r="X20" s="37">
        <v>9.084905660377359</v>
      </c>
      <c r="Y20" s="37">
        <v>9.2075471698113205</v>
      </c>
      <c r="Z20" s="37">
        <v>9.566037735849056</v>
      </c>
      <c r="AA20" s="37">
        <v>9.584905660377359</v>
      </c>
      <c r="AB20" s="37">
        <v>8.4716981132075464</v>
      </c>
      <c r="AC20" s="37">
        <v>7.7547169811320753</v>
      </c>
      <c r="AD20" s="37">
        <v>9.8679245283018862</v>
      </c>
      <c r="AE20" s="37">
        <v>8.5377358490566042</v>
      </c>
      <c r="AF20" s="42">
        <v>9.0094339622641506</v>
      </c>
    </row>
    <row r="21" spans="3:32" x14ac:dyDescent="0.25">
      <c r="C21" s="67"/>
      <c r="D21" s="23" t="s">
        <v>179</v>
      </c>
      <c r="E21" s="30">
        <v>7.7547169811320753</v>
      </c>
      <c r="F21" s="30">
        <v>6.7264150943396226</v>
      </c>
      <c r="G21" s="30">
        <v>6.4716981132075473</v>
      </c>
      <c r="H21" s="30">
        <v>5.7924528301886795</v>
      </c>
      <c r="I21" s="30">
        <v>5.9528301886792452</v>
      </c>
      <c r="J21" s="30">
        <v>5.7264150943396226</v>
      </c>
      <c r="K21" s="30">
        <v>6.216981132075472</v>
      </c>
      <c r="L21" s="30">
        <v>8.1981132075471699</v>
      </c>
      <c r="M21" s="30">
        <v>6.2452830188679247</v>
      </c>
      <c r="N21" s="30">
        <v>6.5943396226415096</v>
      </c>
      <c r="O21" s="30">
        <v>7.8962264150943398</v>
      </c>
      <c r="P21" s="31">
        <v>4.4245283018867925</v>
      </c>
      <c r="V21" s="67"/>
      <c r="W21" s="23" t="s">
        <v>1</v>
      </c>
      <c r="X21" s="32">
        <v>5.3773584905660377</v>
      </c>
      <c r="Y21" s="32">
        <v>7.367924528301887</v>
      </c>
      <c r="Z21" s="32">
        <v>6.3773584905660377</v>
      </c>
      <c r="AA21" s="32">
        <v>5.8301886792452828</v>
      </c>
      <c r="AB21" s="32">
        <v>7.9056603773584904</v>
      </c>
      <c r="AC21" s="32">
        <v>6.7264150943396226</v>
      </c>
      <c r="AD21" s="32">
        <v>6.8867924528301883</v>
      </c>
      <c r="AE21" s="32">
        <v>6.2358490566037732</v>
      </c>
      <c r="AF21" s="43">
        <v>6.5884433962264151</v>
      </c>
    </row>
    <row r="22" spans="3:32" x14ac:dyDescent="0.25">
      <c r="C22" s="67"/>
      <c r="D22" s="23" t="s">
        <v>176</v>
      </c>
      <c r="E22" s="30">
        <v>9.8679245283018862</v>
      </c>
      <c r="F22" s="30">
        <v>6.8867924528301883</v>
      </c>
      <c r="G22" s="30">
        <v>5.6132075471698117</v>
      </c>
      <c r="H22" s="30">
        <v>5.8962264150943398</v>
      </c>
      <c r="I22" s="30">
        <v>4.9056603773584904</v>
      </c>
      <c r="J22" s="30">
        <v>4.3867924528301883</v>
      </c>
      <c r="K22" s="30">
        <v>6.132075471698113</v>
      </c>
      <c r="L22" s="30">
        <v>8.9433962264150946</v>
      </c>
      <c r="M22" s="30">
        <v>6.6698113207547172</v>
      </c>
      <c r="N22" s="30">
        <v>6.0377358490566042</v>
      </c>
      <c r="O22" s="30">
        <v>8.8962264150943398</v>
      </c>
      <c r="P22" s="31">
        <v>3.7641509433962264</v>
      </c>
      <c r="V22" s="67"/>
      <c r="W22" s="23" t="s">
        <v>2</v>
      </c>
      <c r="X22" s="32">
        <v>5.7075471698113205</v>
      </c>
      <c r="Y22" s="32">
        <v>6.0471698113207548</v>
      </c>
      <c r="Z22" s="32">
        <v>5.4622641509433958</v>
      </c>
      <c r="AA22" s="32">
        <v>6.4433962264150946</v>
      </c>
      <c r="AB22" s="32">
        <v>5.867924528301887</v>
      </c>
      <c r="AC22" s="32">
        <v>6.4716981132075473</v>
      </c>
      <c r="AD22" s="32">
        <v>5.6132075471698117</v>
      </c>
      <c r="AE22" s="32">
        <v>6.3867924528301883</v>
      </c>
      <c r="AF22" s="43">
        <v>6</v>
      </c>
    </row>
    <row r="23" spans="3:32" x14ac:dyDescent="0.25">
      <c r="C23" s="67"/>
      <c r="D23" s="23" t="s">
        <v>177</v>
      </c>
      <c r="E23" s="30">
        <v>8.5377358490566042</v>
      </c>
      <c r="F23" s="30">
        <v>6.2358490566037732</v>
      </c>
      <c r="G23" s="30">
        <v>6.3867924528301883</v>
      </c>
      <c r="H23" s="30">
        <v>5.5849056603773581</v>
      </c>
      <c r="I23" s="30">
        <v>4.6886792452830193</v>
      </c>
      <c r="J23" s="30">
        <v>4.3396226415094343</v>
      </c>
      <c r="K23" s="30">
        <v>6.8018867924528301</v>
      </c>
      <c r="L23" s="30">
        <v>8.8584905660377355</v>
      </c>
      <c r="M23" s="30">
        <v>7.4245283018867925</v>
      </c>
      <c r="N23" s="30">
        <v>6.0849056603773581</v>
      </c>
      <c r="O23" s="30">
        <v>9.1509433962264151</v>
      </c>
      <c r="P23" s="31">
        <v>3.9056603773584904</v>
      </c>
      <c r="V23" s="67"/>
      <c r="W23" s="23" t="s">
        <v>3</v>
      </c>
      <c r="X23" s="32">
        <v>6.0943396226415096</v>
      </c>
      <c r="Y23" s="32">
        <v>6.283018867924528</v>
      </c>
      <c r="Z23" s="32">
        <v>6.2735849056603774</v>
      </c>
      <c r="AA23" s="32">
        <v>5.9622641509433958</v>
      </c>
      <c r="AB23" s="32">
        <v>5.9056603773584904</v>
      </c>
      <c r="AC23" s="32">
        <v>5.7924528301886795</v>
      </c>
      <c r="AD23" s="32">
        <v>5.8962264150943398</v>
      </c>
      <c r="AE23" s="32">
        <v>5.5849056603773581</v>
      </c>
      <c r="AF23" s="43">
        <v>5.9740566037735849</v>
      </c>
    </row>
    <row r="24" spans="3:32" x14ac:dyDescent="0.25">
      <c r="C24" s="68"/>
      <c r="D24" s="3" t="s">
        <v>170</v>
      </c>
      <c r="E24" s="16">
        <v>9.0094339622641506</v>
      </c>
      <c r="F24" s="16">
        <v>6.5884433962264151</v>
      </c>
      <c r="G24" s="16">
        <v>6</v>
      </c>
      <c r="H24" s="16">
        <v>5.9740566037735849</v>
      </c>
      <c r="I24" s="16">
        <v>6.0625</v>
      </c>
      <c r="J24" s="16">
        <v>5.367924528301887</v>
      </c>
      <c r="K24" s="16">
        <v>6.1957547169811322</v>
      </c>
      <c r="L24" s="16">
        <v>8.0188679245283012</v>
      </c>
      <c r="M24" s="16">
        <v>6.4103773584905657</v>
      </c>
      <c r="N24" s="16">
        <v>6.3125</v>
      </c>
      <c r="O24" s="16">
        <v>7.8549528301886795</v>
      </c>
      <c r="P24" s="17">
        <v>4.2051886792452828</v>
      </c>
      <c r="V24" s="67"/>
      <c r="W24" s="23" t="s">
        <v>4</v>
      </c>
      <c r="X24" s="32">
        <v>6.3207547169811322</v>
      </c>
      <c r="Y24" s="32">
        <v>5.283018867924528</v>
      </c>
      <c r="Z24" s="32">
        <v>7.0377358490566042</v>
      </c>
      <c r="AA24" s="32">
        <v>7.1603773584905657</v>
      </c>
      <c r="AB24" s="32">
        <v>7.1509433962264151</v>
      </c>
      <c r="AC24" s="32">
        <v>5.9528301886792452</v>
      </c>
      <c r="AD24" s="32">
        <v>4.9056603773584904</v>
      </c>
      <c r="AE24" s="32">
        <v>4.6886792452830193</v>
      </c>
      <c r="AF24" s="43">
        <v>6.0625</v>
      </c>
    </row>
    <row r="25" spans="3:32" x14ac:dyDescent="0.25">
      <c r="C25" s="67" t="s">
        <v>182</v>
      </c>
      <c r="D25" s="23" t="s">
        <v>178</v>
      </c>
      <c r="E25" s="30">
        <v>9.3207547169811313</v>
      </c>
      <c r="F25" s="30">
        <v>5.4905660377358494</v>
      </c>
      <c r="G25" s="30">
        <v>5.6886792452830193</v>
      </c>
      <c r="H25" s="30">
        <v>6.3490566037735849</v>
      </c>
      <c r="I25" s="30">
        <v>6.3396226415094343</v>
      </c>
      <c r="J25" s="30">
        <v>5.0471698113207548</v>
      </c>
      <c r="K25" s="30">
        <v>6.0566037735849054</v>
      </c>
      <c r="L25" s="30">
        <v>9.1037735849056602</v>
      </c>
      <c r="M25" s="30">
        <v>6.632075471698113</v>
      </c>
      <c r="N25" s="30">
        <v>5.5</v>
      </c>
      <c r="O25" s="30">
        <v>8.415094339622641</v>
      </c>
      <c r="P25" s="31">
        <v>4.0566037735849054</v>
      </c>
      <c r="V25" s="67"/>
      <c r="W25" s="23" t="s">
        <v>5</v>
      </c>
      <c r="X25" s="32">
        <v>4.9905660377358494</v>
      </c>
      <c r="Y25" s="32">
        <v>5.4811320754716979</v>
      </c>
      <c r="Z25" s="32">
        <v>5.8301886792452828</v>
      </c>
      <c r="AA25" s="32">
        <v>6.0283018867924527</v>
      </c>
      <c r="AB25" s="32">
        <v>6.1603773584905657</v>
      </c>
      <c r="AC25" s="32">
        <v>5.7264150943396226</v>
      </c>
      <c r="AD25" s="32">
        <v>4.3867924528301883</v>
      </c>
      <c r="AE25" s="32">
        <v>4.3396226415094343</v>
      </c>
      <c r="AF25" s="43">
        <v>5.367924528301887</v>
      </c>
    </row>
    <row r="26" spans="3:32" x14ac:dyDescent="0.25">
      <c r="C26" s="67"/>
      <c r="D26" s="23" t="s">
        <v>172</v>
      </c>
      <c r="E26" s="30">
        <v>9.5377358490566042</v>
      </c>
      <c r="F26" s="30">
        <v>7.216981132075472</v>
      </c>
      <c r="G26" s="30">
        <v>6.0094339622641506</v>
      </c>
      <c r="H26" s="30">
        <v>6.2735849056603774</v>
      </c>
      <c r="I26" s="30">
        <v>5.1792452830188678</v>
      </c>
      <c r="J26" s="30">
        <v>5.0849056603773581</v>
      </c>
      <c r="K26" s="30">
        <v>6.1037735849056602</v>
      </c>
      <c r="L26" s="30">
        <v>8.066037735849056</v>
      </c>
      <c r="M26" s="30">
        <v>6.1037735849056602</v>
      </c>
      <c r="N26" s="30">
        <v>6.1981132075471699</v>
      </c>
      <c r="O26" s="30">
        <v>7.3207547169811322</v>
      </c>
      <c r="P26" s="31">
        <v>4.9056603773584904</v>
      </c>
      <c r="V26" s="67"/>
      <c r="W26" s="23" t="s">
        <v>6</v>
      </c>
      <c r="X26" s="32">
        <v>6.1886792452830193</v>
      </c>
      <c r="Y26" s="32">
        <v>6.1509433962264151</v>
      </c>
      <c r="Z26" s="32">
        <v>6.7264150943396226</v>
      </c>
      <c r="AA26" s="32">
        <v>5.5</v>
      </c>
      <c r="AB26" s="32">
        <v>5.8490566037735849</v>
      </c>
      <c r="AC26" s="32">
        <v>6.216981132075472</v>
      </c>
      <c r="AD26" s="32">
        <v>6.132075471698113</v>
      </c>
      <c r="AE26" s="32">
        <v>6.8018867924528301</v>
      </c>
      <c r="AF26" s="43">
        <v>6.1957547169811322</v>
      </c>
    </row>
    <row r="27" spans="3:32" x14ac:dyDescent="0.25">
      <c r="C27" s="67"/>
      <c r="D27" s="23" t="s">
        <v>173</v>
      </c>
      <c r="E27" s="30">
        <v>9.8490566037735849</v>
      </c>
      <c r="F27" s="30">
        <v>6.2358490566037732</v>
      </c>
      <c r="G27" s="30">
        <v>5.2735849056603774</v>
      </c>
      <c r="H27" s="30">
        <v>6.2264150943396226</v>
      </c>
      <c r="I27" s="30">
        <v>7.2075471698113205</v>
      </c>
      <c r="J27" s="30">
        <v>5.6886792452830193</v>
      </c>
      <c r="K27" s="30">
        <v>6.5660377358490569</v>
      </c>
      <c r="L27" s="30">
        <v>7.9811320754716979</v>
      </c>
      <c r="M27" s="30">
        <v>5.3773584905660377</v>
      </c>
      <c r="N27" s="30">
        <v>6.6886792452830193</v>
      </c>
      <c r="O27" s="30">
        <v>7.0849056603773581</v>
      </c>
      <c r="P27" s="31">
        <v>3.8207547169811322</v>
      </c>
      <c r="V27" s="67"/>
      <c r="W27" s="23" t="s">
        <v>7</v>
      </c>
      <c r="X27" s="32">
        <v>9.1981132075471699</v>
      </c>
      <c r="Y27" s="32">
        <v>7.6698113207547172</v>
      </c>
      <c r="Z27" s="32">
        <v>7.8396226415094343</v>
      </c>
      <c r="AA27" s="32">
        <v>6.6226415094339623</v>
      </c>
      <c r="AB27" s="32">
        <v>6.8207547169811322</v>
      </c>
      <c r="AC27" s="32">
        <v>8.1981132075471699</v>
      </c>
      <c r="AD27" s="32">
        <v>8.9433962264150946</v>
      </c>
      <c r="AE27" s="32">
        <v>8.8584905660377355</v>
      </c>
      <c r="AF27" s="43">
        <v>8.0188679245283012</v>
      </c>
    </row>
    <row r="28" spans="3:32" x14ac:dyDescent="0.25">
      <c r="C28" s="67"/>
      <c r="D28" s="23" t="s">
        <v>174</v>
      </c>
      <c r="E28" s="30">
        <v>10.19811320754717</v>
      </c>
      <c r="F28" s="30">
        <v>6.0566037735849054</v>
      </c>
      <c r="G28" s="30">
        <v>6.2641509433962268</v>
      </c>
      <c r="H28" s="30">
        <v>5.6698113207547172</v>
      </c>
      <c r="I28" s="30">
        <v>7.0471698113207548</v>
      </c>
      <c r="J28" s="30">
        <v>6.1132075471698117</v>
      </c>
      <c r="K28" s="30">
        <v>5.2358490566037732</v>
      </c>
      <c r="L28" s="30">
        <v>6.7075471698113205</v>
      </c>
      <c r="M28" s="30">
        <v>6.5849056603773581</v>
      </c>
      <c r="N28" s="30">
        <v>7.6415094339622645</v>
      </c>
      <c r="O28" s="30">
        <v>6.6981132075471699</v>
      </c>
      <c r="P28" s="31">
        <v>3.7830188679245285</v>
      </c>
      <c r="V28" s="67"/>
      <c r="W28" s="23" t="s">
        <v>8</v>
      </c>
      <c r="X28" s="32">
        <v>6.6981132075471699</v>
      </c>
      <c r="Y28" s="32">
        <v>6.0471698113207548</v>
      </c>
      <c r="Z28" s="32">
        <v>5.283018867924528</v>
      </c>
      <c r="AA28" s="32">
        <v>6.8207547169811322</v>
      </c>
      <c r="AB28" s="32">
        <v>6.0943396226415096</v>
      </c>
      <c r="AC28" s="32">
        <v>6.2452830188679247</v>
      </c>
      <c r="AD28" s="32">
        <v>6.6698113207547172</v>
      </c>
      <c r="AE28" s="32">
        <v>7.4245283018867925</v>
      </c>
      <c r="AF28" s="43">
        <v>6.4103773584905657</v>
      </c>
    </row>
    <row r="29" spans="3:32" x14ac:dyDescent="0.25">
      <c r="C29" s="67"/>
      <c r="D29" s="23" t="s">
        <v>175</v>
      </c>
      <c r="E29" s="30">
        <v>8.8113207547169807</v>
      </c>
      <c r="F29" s="30">
        <v>7.716981132075472</v>
      </c>
      <c r="G29" s="30">
        <v>5.9150943396226419</v>
      </c>
      <c r="H29" s="30">
        <v>5.9339622641509431</v>
      </c>
      <c r="I29" s="30">
        <v>7.2264150943396226</v>
      </c>
      <c r="J29" s="30">
        <v>6.0188679245283021</v>
      </c>
      <c r="K29" s="30">
        <v>5.6509433962264151</v>
      </c>
      <c r="L29" s="30">
        <v>6.9811320754716979</v>
      </c>
      <c r="M29" s="30">
        <v>6.0566037735849054</v>
      </c>
      <c r="N29" s="30">
        <v>5.783018867924528</v>
      </c>
      <c r="O29" s="30">
        <v>7.4716981132075473</v>
      </c>
      <c r="P29" s="31">
        <v>4.4339622641509431</v>
      </c>
      <c r="V29" s="67"/>
      <c r="W29" s="23" t="s">
        <v>9</v>
      </c>
      <c r="X29" s="32">
        <v>5.5943396226415096</v>
      </c>
      <c r="Y29" s="32">
        <v>6.2358490566037732</v>
      </c>
      <c r="Z29" s="32">
        <v>6.6132075471698117</v>
      </c>
      <c r="AA29" s="32">
        <v>7.3962264150943398</v>
      </c>
      <c r="AB29" s="32">
        <v>5.9433962264150946</v>
      </c>
      <c r="AC29" s="32">
        <v>6.5943396226415096</v>
      </c>
      <c r="AD29" s="32">
        <v>6.0377358490566042</v>
      </c>
      <c r="AE29" s="32">
        <v>6.0849056603773581</v>
      </c>
      <c r="AF29" s="43">
        <v>6.3125</v>
      </c>
    </row>
    <row r="30" spans="3:32" x14ac:dyDescent="0.25">
      <c r="C30" s="67"/>
      <c r="D30" s="23" t="s">
        <v>179</v>
      </c>
      <c r="E30" s="30">
        <v>7.9433962264150946</v>
      </c>
      <c r="F30" s="30">
        <v>6.5283018867924527</v>
      </c>
      <c r="G30" s="30">
        <v>6.3584905660377355</v>
      </c>
      <c r="H30" s="30">
        <v>5.9245283018867925</v>
      </c>
      <c r="I30" s="30">
        <v>5.9339622641509431</v>
      </c>
      <c r="J30" s="30">
        <v>5.6698113207547172</v>
      </c>
      <c r="K30" s="30">
        <v>5.9716981132075473</v>
      </c>
      <c r="L30" s="30">
        <v>8.3584905660377355</v>
      </c>
      <c r="M30" s="30">
        <v>6.4339622641509431</v>
      </c>
      <c r="N30" s="30">
        <v>6.4528301886792452</v>
      </c>
      <c r="O30" s="30">
        <v>8.0188679245283012</v>
      </c>
      <c r="P30" s="31">
        <v>4.4056603773584904</v>
      </c>
      <c r="V30" s="67"/>
      <c r="W30" s="23" t="s">
        <v>10</v>
      </c>
      <c r="X30" s="32">
        <v>8.4811320754716988</v>
      </c>
      <c r="Y30" s="32">
        <v>7.1886792452830193</v>
      </c>
      <c r="Z30" s="32">
        <v>7.0943396226415096</v>
      </c>
      <c r="AA30" s="32">
        <v>6.9339622641509431</v>
      </c>
      <c r="AB30" s="32">
        <v>7.1981132075471699</v>
      </c>
      <c r="AC30" s="32">
        <v>7.8962264150943398</v>
      </c>
      <c r="AD30" s="32">
        <v>8.8962264150943398</v>
      </c>
      <c r="AE30" s="32">
        <v>9.1509433962264151</v>
      </c>
      <c r="AF30" s="43">
        <v>7.8549528301886795</v>
      </c>
    </row>
    <row r="31" spans="3:32" x14ac:dyDescent="0.25">
      <c r="C31" s="67"/>
      <c r="D31" s="23" t="s">
        <v>176</v>
      </c>
      <c r="E31" s="30">
        <v>10.028301886792454</v>
      </c>
      <c r="F31" s="30">
        <v>6.9245283018867925</v>
      </c>
      <c r="G31" s="30">
        <v>5.5377358490566042</v>
      </c>
      <c r="H31" s="30">
        <v>5.9528301886792452</v>
      </c>
      <c r="I31" s="30">
        <v>4.8867924528301883</v>
      </c>
      <c r="J31" s="30">
        <v>4.132075471698113</v>
      </c>
      <c r="K31" s="30">
        <v>6.132075471698113</v>
      </c>
      <c r="L31" s="30">
        <v>9.0566037735849054</v>
      </c>
      <c r="M31" s="30">
        <v>6.5188679245283021</v>
      </c>
      <c r="N31" s="30">
        <v>6.0471698113207548</v>
      </c>
      <c r="O31" s="30">
        <v>8.9716981132075464</v>
      </c>
      <c r="P31" s="31">
        <v>3.8113207547169812</v>
      </c>
      <c r="V31" s="68"/>
      <c r="W31" s="24" t="s">
        <v>11</v>
      </c>
      <c r="X31" s="33">
        <v>4.2641509433962268</v>
      </c>
      <c r="Y31" s="33">
        <v>5.0377358490566042</v>
      </c>
      <c r="Z31" s="33">
        <v>3.8962264150943398</v>
      </c>
      <c r="AA31" s="33">
        <v>3.7169811320754715</v>
      </c>
      <c r="AB31" s="33">
        <v>4.632075471698113</v>
      </c>
      <c r="AC31" s="33">
        <v>4.4245283018867925</v>
      </c>
      <c r="AD31" s="33">
        <v>3.7641509433962264</v>
      </c>
      <c r="AE31" s="33">
        <v>3.9056603773584904</v>
      </c>
      <c r="AF31" s="44">
        <v>4.2051886792452828</v>
      </c>
    </row>
    <row r="32" spans="3:32" x14ac:dyDescent="0.25">
      <c r="C32" s="67"/>
      <c r="D32" s="23" t="s">
        <v>177</v>
      </c>
      <c r="E32" s="30">
        <v>8.6886792452830193</v>
      </c>
      <c r="F32" s="30">
        <v>6.1415094339622645</v>
      </c>
      <c r="G32" s="30">
        <v>6.4339622641509431</v>
      </c>
      <c r="H32" s="30">
        <v>5.5566037735849054</v>
      </c>
      <c r="I32" s="30">
        <v>4.6792452830188678</v>
      </c>
      <c r="J32" s="30">
        <v>4.3301886792452828</v>
      </c>
      <c r="K32" s="30">
        <v>6.7358490566037732</v>
      </c>
      <c r="L32" s="30">
        <v>8.9528301886792452</v>
      </c>
      <c r="M32" s="30">
        <v>7.3207547169811322</v>
      </c>
      <c r="N32" s="30">
        <v>6.1603773584905657</v>
      </c>
      <c r="O32" s="30">
        <v>9.0566037735849054</v>
      </c>
      <c r="P32" s="31">
        <v>3.9433962264150941</v>
      </c>
      <c r="V32" s="67" t="s">
        <v>182</v>
      </c>
      <c r="W32" s="23" t="s">
        <v>0</v>
      </c>
      <c r="X32" s="32">
        <v>9.3207547169811313</v>
      </c>
      <c r="Y32" s="32">
        <v>9.5377358490566042</v>
      </c>
      <c r="Z32" s="32">
        <v>9.8490566037735849</v>
      </c>
      <c r="AA32" s="32">
        <v>10.19811320754717</v>
      </c>
      <c r="AB32" s="32">
        <v>8.8113207547169807</v>
      </c>
      <c r="AC32" s="32">
        <v>7.9433962264150946</v>
      </c>
      <c r="AD32" s="32">
        <v>10.028301886792454</v>
      </c>
      <c r="AE32" s="32">
        <v>8.6886792452830193</v>
      </c>
      <c r="AF32" s="43">
        <v>9.2971698113207548</v>
      </c>
    </row>
    <row r="33" spans="3:32" x14ac:dyDescent="0.25">
      <c r="C33" s="68"/>
      <c r="D33" s="3" t="s">
        <v>170</v>
      </c>
      <c r="E33" s="16">
        <v>9.2971698113207548</v>
      </c>
      <c r="F33" s="16">
        <v>6.5389150943396226</v>
      </c>
      <c r="G33" s="16">
        <v>5.9351415094339623</v>
      </c>
      <c r="H33" s="16">
        <v>5.9858490566037732</v>
      </c>
      <c r="I33" s="16">
        <v>6.0625</v>
      </c>
      <c r="J33" s="16">
        <v>5.2606132075471699</v>
      </c>
      <c r="K33" s="16">
        <v>6.0566037735849054</v>
      </c>
      <c r="L33" s="16">
        <v>8.1509433962264151</v>
      </c>
      <c r="M33" s="16">
        <v>6.378537735849056</v>
      </c>
      <c r="N33" s="16">
        <v>6.3089622641509431</v>
      </c>
      <c r="O33" s="16">
        <v>7.8797169811320753</v>
      </c>
      <c r="P33" s="17">
        <v>4.1450471698113205</v>
      </c>
      <c r="V33" s="67"/>
      <c r="W33" s="23" t="s">
        <v>1</v>
      </c>
      <c r="X33" s="32">
        <v>5.4905660377358494</v>
      </c>
      <c r="Y33" s="32">
        <v>7.216981132075472</v>
      </c>
      <c r="Z33" s="32">
        <v>6.2358490566037732</v>
      </c>
      <c r="AA33" s="32">
        <v>6.0566037735849054</v>
      </c>
      <c r="AB33" s="32">
        <v>7.716981132075472</v>
      </c>
      <c r="AC33" s="32">
        <v>6.5283018867924527</v>
      </c>
      <c r="AD33" s="32">
        <v>6.9245283018867925</v>
      </c>
      <c r="AE33" s="32">
        <v>6.1415094339622645</v>
      </c>
      <c r="AF33" s="43">
        <v>6.5389150943396226</v>
      </c>
    </row>
    <row r="34" spans="3:32" x14ac:dyDescent="0.25">
      <c r="V34" s="67"/>
      <c r="W34" s="23" t="s">
        <v>2</v>
      </c>
      <c r="X34" s="32">
        <v>5.6886792452830193</v>
      </c>
      <c r="Y34" s="32">
        <v>6.0094339622641506</v>
      </c>
      <c r="Z34" s="32">
        <v>5.2735849056603774</v>
      </c>
      <c r="AA34" s="32">
        <v>6.2641509433962268</v>
      </c>
      <c r="AB34" s="32">
        <v>5.9150943396226419</v>
      </c>
      <c r="AC34" s="32">
        <v>6.3584905660377355</v>
      </c>
      <c r="AD34" s="32">
        <v>5.5377358490566042</v>
      </c>
      <c r="AE34" s="32">
        <v>6.4339622641509431</v>
      </c>
      <c r="AF34" s="43">
        <v>5.9351415094339623</v>
      </c>
    </row>
    <row r="35" spans="3:32" x14ac:dyDescent="0.25">
      <c r="V35" s="67"/>
      <c r="W35" s="23" t="s">
        <v>3</v>
      </c>
      <c r="X35" s="32">
        <v>6.3490566037735849</v>
      </c>
      <c r="Y35" s="32">
        <v>6.2735849056603774</v>
      </c>
      <c r="Z35" s="32">
        <v>6.2264150943396226</v>
      </c>
      <c r="AA35" s="32">
        <v>5.6698113207547172</v>
      </c>
      <c r="AB35" s="32">
        <v>5.9339622641509431</v>
      </c>
      <c r="AC35" s="32">
        <v>5.9245283018867925</v>
      </c>
      <c r="AD35" s="32">
        <v>5.9528301886792452</v>
      </c>
      <c r="AE35" s="32">
        <v>5.5566037735849054</v>
      </c>
      <c r="AF35" s="43">
        <v>5.9858490566037732</v>
      </c>
    </row>
    <row r="36" spans="3:32" x14ac:dyDescent="0.25">
      <c r="V36" s="67"/>
      <c r="W36" s="23" t="s">
        <v>4</v>
      </c>
      <c r="X36" s="32">
        <v>6.3396226415094343</v>
      </c>
      <c r="Y36" s="32">
        <v>5.1792452830188678</v>
      </c>
      <c r="Z36" s="32">
        <v>7.2075471698113205</v>
      </c>
      <c r="AA36" s="32">
        <v>7.0471698113207548</v>
      </c>
      <c r="AB36" s="32">
        <v>7.2264150943396226</v>
      </c>
      <c r="AC36" s="32">
        <v>5.9339622641509431</v>
      </c>
      <c r="AD36" s="32">
        <v>4.8867924528301883</v>
      </c>
      <c r="AE36" s="32">
        <v>4.6792452830188678</v>
      </c>
      <c r="AF36" s="43">
        <v>6.0625</v>
      </c>
    </row>
    <row r="37" spans="3:32" x14ac:dyDescent="0.25">
      <c r="V37" s="67"/>
      <c r="W37" s="23" t="s">
        <v>5</v>
      </c>
      <c r="X37" s="32">
        <v>5.0471698113207548</v>
      </c>
      <c r="Y37" s="32">
        <v>5.0849056603773581</v>
      </c>
      <c r="Z37" s="32">
        <v>5.6886792452830193</v>
      </c>
      <c r="AA37" s="32">
        <v>6.1132075471698117</v>
      </c>
      <c r="AB37" s="32">
        <v>6.0188679245283021</v>
      </c>
      <c r="AC37" s="32">
        <v>5.6698113207547172</v>
      </c>
      <c r="AD37" s="32">
        <v>4.132075471698113</v>
      </c>
      <c r="AE37" s="32">
        <v>4.3301886792452828</v>
      </c>
      <c r="AF37" s="43">
        <v>5.2606132075471699</v>
      </c>
    </row>
    <row r="38" spans="3:32" x14ac:dyDescent="0.25">
      <c r="V38" s="67"/>
      <c r="W38" s="23" t="s">
        <v>6</v>
      </c>
      <c r="X38" s="32">
        <v>6.0566037735849054</v>
      </c>
      <c r="Y38" s="32">
        <v>6.1037735849056602</v>
      </c>
      <c r="Z38" s="32">
        <v>6.5660377358490569</v>
      </c>
      <c r="AA38" s="32">
        <v>5.2358490566037732</v>
      </c>
      <c r="AB38" s="32">
        <v>5.6509433962264151</v>
      </c>
      <c r="AC38" s="32">
        <v>5.9716981132075473</v>
      </c>
      <c r="AD38" s="32">
        <v>6.132075471698113</v>
      </c>
      <c r="AE38" s="32">
        <v>6.7358490566037732</v>
      </c>
      <c r="AF38" s="43">
        <v>6.0566037735849054</v>
      </c>
    </row>
    <row r="39" spans="3:32" x14ac:dyDescent="0.25">
      <c r="V39" s="67"/>
      <c r="W39" s="23" t="s">
        <v>7</v>
      </c>
      <c r="X39" s="32">
        <v>9.1037735849056602</v>
      </c>
      <c r="Y39" s="32">
        <v>8.066037735849056</v>
      </c>
      <c r="Z39" s="32">
        <v>7.9811320754716979</v>
      </c>
      <c r="AA39" s="32">
        <v>6.7075471698113205</v>
      </c>
      <c r="AB39" s="32">
        <v>6.9811320754716979</v>
      </c>
      <c r="AC39" s="32">
        <v>8.3584905660377355</v>
      </c>
      <c r="AD39" s="32">
        <v>9.0566037735849054</v>
      </c>
      <c r="AE39" s="32">
        <v>8.9528301886792452</v>
      </c>
      <c r="AF39" s="43">
        <v>8.1509433962264151</v>
      </c>
    </row>
    <row r="40" spans="3:32" x14ac:dyDescent="0.25">
      <c r="V40" s="67"/>
      <c r="W40" s="23" t="s">
        <v>8</v>
      </c>
      <c r="X40" s="32">
        <v>6.632075471698113</v>
      </c>
      <c r="Y40" s="32">
        <v>6.1037735849056602</v>
      </c>
      <c r="Z40" s="32">
        <v>5.3773584905660377</v>
      </c>
      <c r="AA40" s="32">
        <v>6.5849056603773581</v>
      </c>
      <c r="AB40" s="32">
        <v>6.0566037735849054</v>
      </c>
      <c r="AC40" s="32">
        <v>6.4339622641509431</v>
      </c>
      <c r="AD40" s="32">
        <v>6.5188679245283021</v>
      </c>
      <c r="AE40" s="32">
        <v>7.3207547169811322</v>
      </c>
      <c r="AF40" s="43">
        <v>6.378537735849056</v>
      </c>
    </row>
    <row r="41" spans="3:32" x14ac:dyDescent="0.25">
      <c r="V41" s="67"/>
      <c r="W41" s="23" t="s">
        <v>9</v>
      </c>
      <c r="X41" s="32">
        <v>5.5</v>
      </c>
      <c r="Y41" s="32">
        <v>6.1981132075471699</v>
      </c>
      <c r="Z41" s="32">
        <v>6.6886792452830193</v>
      </c>
      <c r="AA41" s="32">
        <v>7.6415094339622645</v>
      </c>
      <c r="AB41" s="32">
        <v>5.783018867924528</v>
      </c>
      <c r="AC41" s="32">
        <v>6.4528301886792452</v>
      </c>
      <c r="AD41" s="32">
        <v>6.0471698113207548</v>
      </c>
      <c r="AE41" s="32">
        <v>6.1603773584905657</v>
      </c>
      <c r="AF41" s="43">
        <v>6.3089622641509431</v>
      </c>
    </row>
    <row r="42" spans="3:32" x14ac:dyDescent="0.25">
      <c r="V42" s="67"/>
      <c r="W42" s="23" t="s">
        <v>10</v>
      </c>
      <c r="X42" s="32">
        <v>8.415094339622641</v>
      </c>
      <c r="Y42" s="32">
        <v>7.3207547169811322</v>
      </c>
      <c r="Z42" s="32">
        <v>7.0849056603773581</v>
      </c>
      <c r="AA42" s="32">
        <v>6.6981132075471699</v>
      </c>
      <c r="AB42" s="32">
        <v>7.4716981132075473</v>
      </c>
      <c r="AC42" s="32">
        <v>8.0188679245283012</v>
      </c>
      <c r="AD42" s="32">
        <v>8.9716981132075464</v>
      </c>
      <c r="AE42" s="32">
        <v>9.0566037735849054</v>
      </c>
      <c r="AF42" s="43">
        <v>7.8797169811320753</v>
      </c>
    </row>
    <row r="43" spans="3:32" x14ac:dyDescent="0.25">
      <c r="V43" s="68"/>
      <c r="W43" s="24" t="s">
        <v>11</v>
      </c>
      <c r="X43" s="33">
        <v>4.0566037735849054</v>
      </c>
      <c r="Y43" s="33">
        <v>4.9056603773584904</v>
      </c>
      <c r="Z43" s="33">
        <v>3.8207547169811322</v>
      </c>
      <c r="AA43" s="33">
        <v>3.7830188679245285</v>
      </c>
      <c r="AB43" s="33">
        <v>4.4339622641509431</v>
      </c>
      <c r="AC43" s="33">
        <v>4.4056603773584904</v>
      </c>
      <c r="AD43" s="33">
        <v>3.8113207547169812</v>
      </c>
      <c r="AE43" s="33">
        <v>3.9433962264150941</v>
      </c>
      <c r="AF43" s="44">
        <v>4.1450471698113205</v>
      </c>
    </row>
  </sheetData>
  <mergeCells count="6">
    <mergeCell ref="C7:C15"/>
    <mergeCell ref="C16:C24"/>
    <mergeCell ref="C25:C33"/>
    <mergeCell ref="V8:V19"/>
    <mergeCell ref="V20:V31"/>
    <mergeCell ref="V32:V4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7ADDA-B346-45BD-A06E-CBB51851BBA3}">
  <dimension ref="E6:AV86"/>
  <sheetViews>
    <sheetView tabSelected="1" topLeftCell="E16" zoomScale="85" zoomScaleNormal="85" workbookViewId="0">
      <selection activeCell="Y29" sqref="Y29"/>
    </sheetView>
  </sheetViews>
  <sheetFormatPr defaultRowHeight="15.75" x14ac:dyDescent="0.25"/>
  <cols>
    <col min="1" max="2" width="9.140625" style="47"/>
    <col min="3" max="5" width="9.42578125" style="47" bestFit="1" customWidth="1"/>
    <col min="6" max="6" width="9.42578125" style="47" customWidth="1"/>
    <col min="7" max="7" width="9.42578125" style="47" bestFit="1" customWidth="1"/>
    <col min="8" max="8" width="10" style="47" bestFit="1" customWidth="1"/>
    <col min="9" max="13" width="9.42578125" style="47" bestFit="1" customWidth="1"/>
    <col min="14" max="14" width="10.140625" style="47" bestFit="1" customWidth="1"/>
    <col min="15" max="24" width="9.140625" style="47"/>
    <col min="25" max="25" width="12.140625" style="47" bestFit="1" customWidth="1"/>
    <col min="26" max="16384" width="9.140625" style="47"/>
  </cols>
  <sheetData>
    <row r="6" spans="5:48" x14ac:dyDescent="0.25">
      <c r="E6" s="50"/>
      <c r="F6" s="50"/>
      <c r="G6" s="50" t="s">
        <v>184</v>
      </c>
      <c r="H6" s="50" t="s">
        <v>189</v>
      </c>
      <c r="I6" s="51" t="s">
        <v>0</v>
      </c>
      <c r="J6" s="51" t="s">
        <v>1</v>
      </c>
      <c r="K6" s="51" t="s">
        <v>2</v>
      </c>
      <c r="L6" s="51" t="s">
        <v>3</v>
      </c>
      <c r="M6" s="51" t="s">
        <v>4</v>
      </c>
      <c r="N6" s="51" t="s">
        <v>5</v>
      </c>
      <c r="O6" s="51" t="s">
        <v>6</v>
      </c>
      <c r="P6" s="51" t="s">
        <v>7</v>
      </c>
      <c r="Q6" s="51" t="s">
        <v>8</v>
      </c>
      <c r="R6" s="51" t="s">
        <v>9</v>
      </c>
      <c r="S6" s="51" t="s">
        <v>10</v>
      </c>
      <c r="AI6" s="50"/>
      <c r="AJ6" s="50" t="s">
        <v>184</v>
      </c>
      <c r="AK6" s="50" t="s">
        <v>189</v>
      </c>
      <c r="AL6" s="51" t="s">
        <v>0</v>
      </c>
      <c r="AM6" s="51" t="s">
        <v>1</v>
      </c>
      <c r="AN6" s="51" t="s">
        <v>2</v>
      </c>
      <c r="AO6" s="51" t="s">
        <v>3</v>
      </c>
      <c r="AP6" s="51" t="s">
        <v>4</v>
      </c>
      <c r="AQ6" s="51" t="s">
        <v>5</v>
      </c>
      <c r="AR6" s="51" t="s">
        <v>6</v>
      </c>
      <c r="AS6" s="51" t="s">
        <v>7</v>
      </c>
      <c r="AT6" s="51" t="s">
        <v>8</v>
      </c>
      <c r="AU6" s="51" t="s">
        <v>9</v>
      </c>
      <c r="AV6" s="51" t="s">
        <v>10</v>
      </c>
    </row>
    <row r="7" spans="5:48" x14ac:dyDescent="0.25">
      <c r="F7" s="74" t="s">
        <v>11</v>
      </c>
      <c r="G7" s="72" t="s">
        <v>180</v>
      </c>
      <c r="H7" s="52" t="s">
        <v>185</v>
      </c>
      <c r="I7" s="60" t="s">
        <v>187</v>
      </c>
      <c r="J7" s="60" t="s">
        <v>187</v>
      </c>
      <c r="K7" s="60" t="s">
        <v>187</v>
      </c>
      <c r="L7" s="60" t="s">
        <v>187</v>
      </c>
      <c r="M7" s="60" t="s">
        <v>187</v>
      </c>
      <c r="N7" s="60">
        <v>2.3999999999999998E-3</v>
      </c>
      <c r="O7" s="60" t="s">
        <v>187</v>
      </c>
      <c r="P7" s="60" t="s">
        <v>187</v>
      </c>
      <c r="Q7" s="60" t="s">
        <v>187</v>
      </c>
      <c r="R7" s="60" t="s">
        <v>187</v>
      </c>
      <c r="S7" s="60" t="s">
        <v>187</v>
      </c>
      <c r="V7" s="47" t="str">
        <f>TEXT(I7, "0.000")</f>
        <v>&lt;0.001</v>
      </c>
      <c r="W7" s="47" t="str">
        <f t="shared" ref="W7:AF12" si="0">TEXT(J7, "0.000")</f>
        <v>&lt;0.001</v>
      </c>
      <c r="X7" s="47" t="str">
        <f t="shared" si="0"/>
        <v>&lt;0.001</v>
      </c>
      <c r="Y7" s="47" t="str">
        <f t="shared" si="0"/>
        <v>&lt;0.001</v>
      </c>
      <c r="Z7" s="47" t="str">
        <f t="shared" si="0"/>
        <v>&lt;0.001</v>
      </c>
      <c r="AA7" s="47" t="str">
        <f t="shared" si="0"/>
        <v>0.002</v>
      </c>
      <c r="AB7" s="47" t="str">
        <f t="shared" si="0"/>
        <v>&lt;0.001</v>
      </c>
      <c r="AC7" s="47" t="str">
        <f t="shared" si="0"/>
        <v>&lt;0.001</v>
      </c>
      <c r="AD7" s="47" t="str">
        <f t="shared" si="0"/>
        <v>&lt;0.001</v>
      </c>
      <c r="AE7" s="47" t="str">
        <f t="shared" si="0"/>
        <v>&lt;0.001</v>
      </c>
      <c r="AF7" s="47" t="str">
        <f t="shared" si="0"/>
        <v>&lt;0.001</v>
      </c>
      <c r="AI7" s="74" t="s">
        <v>11</v>
      </c>
      <c r="AJ7" s="72" t="s">
        <v>180</v>
      </c>
      <c r="AK7" s="52" t="s">
        <v>185</v>
      </c>
      <c r="AL7" s="60" t="str">
        <f>_xlfn.CONCAT(V7,"*")</f>
        <v>&lt;0.001*</v>
      </c>
      <c r="AM7" s="60" t="str">
        <f t="shared" ref="AM7:AV7" si="1">_xlfn.CONCAT(W7,"*")</f>
        <v>&lt;0.001*</v>
      </c>
      <c r="AN7" s="60" t="str">
        <f t="shared" si="1"/>
        <v>&lt;0.001*</v>
      </c>
      <c r="AO7" s="60" t="str">
        <f t="shared" si="1"/>
        <v>&lt;0.001*</v>
      </c>
      <c r="AP7" s="60" t="str">
        <f t="shared" si="1"/>
        <v>&lt;0.001*</v>
      </c>
      <c r="AQ7" s="60" t="str">
        <f t="shared" si="1"/>
        <v>0.002*</v>
      </c>
      <c r="AR7" s="60" t="str">
        <f t="shared" si="1"/>
        <v>&lt;0.001*</v>
      </c>
      <c r="AS7" s="60" t="str">
        <f t="shared" si="1"/>
        <v>&lt;0.001*</v>
      </c>
      <c r="AT7" s="60" t="str">
        <f t="shared" si="1"/>
        <v>&lt;0.001*</v>
      </c>
      <c r="AU7" s="60" t="str">
        <f t="shared" si="1"/>
        <v>&lt;0.001*</v>
      </c>
      <c r="AV7" s="60" t="str">
        <f t="shared" si="1"/>
        <v>&lt;0.001*</v>
      </c>
    </row>
    <row r="8" spans="5:48" x14ac:dyDescent="0.25">
      <c r="F8" s="74"/>
      <c r="G8" s="73"/>
      <c r="H8" s="49" t="s">
        <v>186</v>
      </c>
      <c r="I8" s="61" t="s">
        <v>187</v>
      </c>
      <c r="J8" s="61" t="s">
        <v>187</v>
      </c>
      <c r="K8" s="61" t="s">
        <v>187</v>
      </c>
      <c r="L8" s="61" t="s">
        <v>187</v>
      </c>
      <c r="M8" s="61" t="s">
        <v>187</v>
      </c>
      <c r="N8" s="61">
        <v>6.1000000000000004E-3</v>
      </c>
      <c r="O8" s="61" t="s">
        <v>187</v>
      </c>
      <c r="P8" s="61" t="s">
        <v>187</v>
      </c>
      <c r="Q8" s="61" t="s">
        <v>187</v>
      </c>
      <c r="R8" s="61" t="s">
        <v>187</v>
      </c>
      <c r="S8" s="61" t="s">
        <v>187</v>
      </c>
      <c r="V8" s="47" t="str">
        <f t="shared" ref="V8:V12" si="2">TEXT(I8, "0.000")</f>
        <v>&lt;0.001</v>
      </c>
      <c r="W8" s="47" t="str">
        <f t="shared" si="0"/>
        <v>&lt;0.001</v>
      </c>
      <c r="X8" s="47" t="str">
        <f t="shared" si="0"/>
        <v>&lt;0.001</v>
      </c>
      <c r="Y8" s="47" t="str">
        <f t="shared" si="0"/>
        <v>&lt;0.001</v>
      </c>
      <c r="Z8" s="47" t="str">
        <f t="shared" si="0"/>
        <v>&lt;0.001</v>
      </c>
      <c r="AA8" s="47" t="str">
        <f t="shared" si="0"/>
        <v>0.006</v>
      </c>
      <c r="AB8" s="47" t="str">
        <f t="shared" si="0"/>
        <v>&lt;0.001</v>
      </c>
      <c r="AC8" s="47" t="str">
        <f t="shared" si="0"/>
        <v>&lt;0.001</v>
      </c>
      <c r="AD8" s="47" t="str">
        <f t="shared" si="0"/>
        <v>&lt;0.001</v>
      </c>
      <c r="AE8" s="47" t="str">
        <f t="shared" si="0"/>
        <v>&lt;0.001</v>
      </c>
      <c r="AF8" s="47" t="str">
        <f t="shared" si="0"/>
        <v>&lt;0.001</v>
      </c>
      <c r="AI8" s="74"/>
      <c r="AJ8" s="73"/>
      <c r="AK8" s="49" t="s">
        <v>186</v>
      </c>
      <c r="AL8" s="61" t="str">
        <f t="shared" ref="AL8:AL12" si="3">_xlfn.CONCAT(V8,"*")</f>
        <v>&lt;0.001*</v>
      </c>
      <c r="AM8" s="61" t="str">
        <f t="shared" ref="AM8:AM12" si="4">_xlfn.CONCAT(W8,"*")</f>
        <v>&lt;0.001*</v>
      </c>
      <c r="AN8" s="61" t="str">
        <f t="shared" ref="AN8:AN12" si="5">_xlfn.CONCAT(X8,"*")</f>
        <v>&lt;0.001*</v>
      </c>
      <c r="AO8" s="61" t="str">
        <f t="shared" ref="AO8:AO12" si="6">_xlfn.CONCAT(Y8,"*")</f>
        <v>&lt;0.001*</v>
      </c>
      <c r="AP8" s="61" t="str">
        <f t="shared" ref="AP8:AP12" si="7">_xlfn.CONCAT(Z8,"*")</f>
        <v>&lt;0.001*</v>
      </c>
      <c r="AQ8" s="61" t="str">
        <f t="shared" ref="AQ8:AQ12" si="8">_xlfn.CONCAT(AA8,"*")</f>
        <v>0.006*</v>
      </c>
      <c r="AR8" s="61" t="str">
        <f t="shared" ref="AR8:AR12" si="9">_xlfn.CONCAT(AB8,"*")</f>
        <v>&lt;0.001*</v>
      </c>
      <c r="AS8" s="61" t="str">
        <f t="shared" ref="AS8:AS12" si="10">_xlfn.CONCAT(AC8,"*")</f>
        <v>&lt;0.001*</v>
      </c>
      <c r="AT8" s="61" t="str">
        <f t="shared" ref="AT8:AT12" si="11">_xlfn.CONCAT(AD8,"*")</f>
        <v>&lt;0.001*</v>
      </c>
      <c r="AU8" s="61" t="str">
        <f t="shared" ref="AU8:AU12" si="12">_xlfn.CONCAT(AE8,"*")</f>
        <v>&lt;0.001*</v>
      </c>
      <c r="AV8" s="61" t="str">
        <f t="shared" ref="AV8:AV12" si="13">_xlfn.CONCAT(AF8,"*")</f>
        <v>&lt;0.001*</v>
      </c>
    </row>
    <row r="9" spans="5:48" x14ac:dyDescent="0.25">
      <c r="F9" s="74"/>
      <c r="G9" s="72" t="s">
        <v>182</v>
      </c>
      <c r="H9" s="52" t="s">
        <v>185</v>
      </c>
      <c r="I9" s="60" t="s">
        <v>187</v>
      </c>
      <c r="J9" s="60" t="s">
        <v>187</v>
      </c>
      <c r="K9" s="60" t="s">
        <v>187</v>
      </c>
      <c r="L9" s="60" t="s">
        <v>187</v>
      </c>
      <c r="M9" s="60" t="s">
        <v>187</v>
      </c>
      <c r="N9" s="60" t="s">
        <v>187</v>
      </c>
      <c r="O9" s="60" t="s">
        <v>187</v>
      </c>
      <c r="P9" s="60" t="s">
        <v>187</v>
      </c>
      <c r="Q9" s="60" t="s">
        <v>187</v>
      </c>
      <c r="R9" s="60" t="s">
        <v>187</v>
      </c>
      <c r="S9" s="60" t="s">
        <v>187</v>
      </c>
      <c r="V9" s="47" t="str">
        <f t="shared" si="2"/>
        <v>&lt;0.001</v>
      </c>
      <c r="W9" s="47" t="str">
        <f t="shared" si="0"/>
        <v>&lt;0.001</v>
      </c>
      <c r="X9" s="47" t="str">
        <f t="shared" si="0"/>
        <v>&lt;0.001</v>
      </c>
      <c r="Y9" s="47" t="str">
        <f t="shared" si="0"/>
        <v>&lt;0.001</v>
      </c>
      <c r="Z9" s="47" t="str">
        <f t="shared" si="0"/>
        <v>&lt;0.001</v>
      </c>
      <c r="AA9" s="47" t="str">
        <f t="shared" si="0"/>
        <v>&lt;0.001</v>
      </c>
      <c r="AB9" s="47" t="str">
        <f t="shared" si="0"/>
        <v>&lt;0.001</v>
      </c>
      <c r="AC9" s="47" t="str">
        <f t="shared" si="0"/>
        <v>&lt;0.001</v>
      </c>
      <c r="AD9" s="47" t="str">
        <f t="shared" si="0"/>
        <v>&lt;0.001</v>
      </c>
      <c r="AE9" s="47" t="str">
        <f t="shared" si="0"/>
        <v>&lt;0.001</v>
      </c>
      <c r="AF9" s="47" t="str">
        <f t="shared" si="0"/>
        <v>&lt;0.001</v>
      </c>
      <c r="AI9" s="74"/>
      <c r="AJ9" s="72" t="s">
        <v>182</v>
      </c>
      <c r="AK9" s="52" t="s">
        <v>185</v>
      </c>
      <c r="AL9" s="60" t="str">
        <f t="shared" si="3"/>
        <v>&lt;0.001*</v>
      </c>
      <c r="AM9" s="60" t="str">
        <f t="shared" si="4"/>
        <v>&lt;0.001*</v>
      </c>
      <c r="AN9" s="60" t="str">
        <f t="shared" si="5"/>
        <v>&lt;0.001*</v>
      </c>
      <c r="AO9" s="60" t="str">
        <f t="shared" si="6"/>
        <v>&lt;0.001*</v>
      </c>
      <c r="AP9" s="60" t="str">
        <f t="shared" si="7"/>
        <v>&lt;0.001*</v>
      </c>
      <c r="AQ9" s="60" t="str">
        <f t="shared" si="8"/>
        <v>&lt;0.001*</v>
      </c>
      <c r="AR9" s="60" t="str">
        <f t="shared" si="9"/>
        <v>&lt;0.001*</v>
      </c>
      <c r="AS9" s="60" t="str">
        <f t="shared" si="10"/>
        <v>&lt;0.001*</v>
      </c>
      <c r="AT9" s="60" t="str">
        <f t="shared" si="11"/>
        <v>&lt;0.001*</v>
      </c>
      <c r="AU9" s="60" t="str">
        <f t="shared" si="12"/>
        <v>&lt;0.001*</v>
      </c>
      <c r="AV9" s="60" t="str">
        <f t="shared" si="13"/>
        <v>&lt;0.001*</v>
      </c>
    </row>
    <row r="10" spans="5:48" x14ac:dyDescent="0.25">
      <c r="F10" s="74"/>
      <c r="G10" s="73"/>
      <c r="H10" s="49" t="s">
        <v>186</v>
      </c>
      <c r="I10" s="61" t="s">
        <v>187</v>
      </c>
      <c r="J10" s="61" t="s">
        <v>187</v>
      </c>
      <c r="K10" s="61" t="s">
        <v>187</v>
      </c>
      <c r="L10" s="61" t="s">
        <v>187</v>
      </c>
      <c r="M10" s="61" t="s">
        <v>187</v>
      </c>
      <c r="N10" s="61" t="s">
        <v>187</v>
      </c>
      <c r="O10" s="61" t="s">
        <v>187</v>
      </c>
      <c r="P10" s="61" t="s">
        <v>187</v>
      </c>
      <c r="Q10" s="61" t="s">
        <v>187</v>
      </c>
      <c r="R10" s="61" t="s">
        <v>187</v>
      </c>
      <c r="S10" s="61" t="s">
        <v>187</v>
      </c>
      <c r="V10" s="47" t="str">
        <f t="shared" si="2"/>
        <v>&lt;0.001</v>
      </c>
      <c r="W10" s="47" t="str">
        <f t="shared" si="0"/>
        <v>&lt;0.001</v>
      </c>
      <c r="X10" s="47" t="str">
        <f t="shared" si="0"/>
        <v>&lt;0.001</v>
      </c>
      <c r="Y10" s="47" t="str">
        <f t="shared" si="0"/>
        <v>&lt;0.001</v>
      </c>
      <c r="Z10" s="47" t="str">
        <f t="shared" si="0"/>
        <v>&lt;0.001</v>
      </c>
      <c r="AA10" s="47" t="str">
        <f t="shared" si="0"/>
        <v>&lt;0.001</v>
      </c>
      <c r="AB10" s="47" t="str">
        <f t="shared" si="0"/>
        <v>&lt;0.001</v>
      </c>
      <c r="AC10" s="47" t="str">
        <f t="shared" si="0"/>
        <v>&lt;0.001</v>
      </c>
      <c r="AD10" s="47" t="str">
        <f t="shared" si="0"/>
        <v>&lt;0.001</v>
      </c>
      <c r="AE10" s="47" t="str">
        <f t="shared" si="0"/>
        <v>&lt;0.001</v>
      </c>
      <c r="AF10" s="47" t="str">
        <f t="shared" si="0"/>
        <v>&lt;0.001</v>
      </c>
      <c r="AI10" s="74"/>
      <c r="AJ10" s="73"/>
      <c r="AK10" s="49" t="s">
        <v>186</v>
      </c>
      <c r="AL10" s="61" t="str">
        <f t="shared" si="3"/>
        <v>&lt;0.001*</v>
      </c>
      <c r="AM10" s="61" t="str">
        <f t="shared" si="4"/>
        <v>&lt;0.001*</v>
      </c>
      <c r="AN10" s="61" t="str">
        <f t="shared" si="5"/>
        <v>&lt;0.001*</v>
      </c>
      <c r="AO10" s="61" t="str">
        <f t="shared" si="6"/>
        <v>&lt;0.001*</v>
      </c>
      <c r="AP10" s="61" t="str">
        <f t="shared" si="7"/>
        <v>&lt;0.001*</v>
      </c>
      <c r="AQ10" s="61" t="str">
        <f t="shared" si="8"/>
        <v>&lt;0.001*</v>
      </c>
      <c r="AR10" s="61" t="str">
        <f t="shared" si="9"/>
        <v>&lt;0.001*</v>
      </c>
      <c r="AS10" s="61" t="str">
        <f t="shared" si="10"/>
        <v>&lt;0.001*</v>
      </c>
      <c r="AT10" s="61" t="str">
        <f t="shared" si="11"/>
        <v>&lt;0.001*</v>
      </c>
      <c r="AU10" s="61" t="str">
        <f t="shared" si="12"/>
        <v>&lt;0.001*</v>
      </c>
      <c r="AV10" s="61" t="str">
        <f t="shared" si="13"/>
        <v>&lt;0.001*</v>
      </c>
    </row>
    <row r="11" spans="5:48" x14ac:dyDescent="0.25">
      <c r="F11" s="74"/>
      <c r="G11" s="74" t="s">
        <v>188</v>
      </c>
      <c r="H11" s="48" t="s">
        <v>185</v>
      </c>
      <c r="I11" s="62" t="s">
        <v>187</v>
      </c>
      <c r="J11" s="62" t="s">
        <v>187</v>
      </c>
      <c r="K11" s="62" t="s">
        <v>187</v>
      </c>
      <c r="L11" s="62" t="s">
        <v>187</v>
      </c>
      <c r="M11" s="62" t="s">
        <v>187</v>
      </c>
      <c r="N11" s="62" t="s">
        <v>187</v>
      </c>
      <c r="O11" s="62" t="s">
        <v>187</v>
      </c>
      <c r="P11" s="62" t="s">
        <v>187</v>
      </c>
      <c r="Q11" s="62" t="s">
        <v>187</v>
      </c>
      <c r="R11" s="62" t="s">
        <v>187</v>
      </c>
      <c r="S11" s="62" t="s">
        <v>187</v>
      </c>
      <c r="V11" s="47" t="str">
        <f t="shared" si="2"/>
        <v>&lt;0.001</v>
      </c>
      <c r="W11" s="47" t="str">
        <f t="shared" si="0"/>
        <v>&lt;0.001</v>
      </c>
      <c r="X11" s="47" t="str">
        <f t="shared" si="0"/>
        <v>&lt;0.001</v>
      </c>
      <c r="Y11" s="47" t="str">
        <f t="shared" si="0"/>
        <v>&lt;0.001</v>
      </c>
      <c r="Z11" s="47" t="str">
        <f t="shared" si="0"/>
        <v>&lt;0.001</v>
      </c>
      <c r="AA11" s="47" t="str">
        <f t="shared" si="0"/>
        <v>&lt;0.001</v>
      </c>
      <c r="AB11" s="47" t="str">
        <f t="shared" si="0"/>
        <v>&lt;0.001</v>
      </c>
      <c r="AC11" s="47" t="str">
        <f t="shared" si="0"/>
        <v>&lt;0.001</v>
      </c>
      <c r="AD11" s="47" t="str">
        <f t="shared" si="0"/>
        <v>&lt;0.001</v>
      </c>
      <c r="AE11" s="47" t="str">
        <f t="shared" si="0"/>
        <v>&lt;0.001</v>
      </c>
      <c r="AF11" s="47" t="str">
        <f t="shared" si="0"/>
        <v>&lt;0.001</v>
      </c>
      <c r="AI11" s="74"/>
      <c r="AJ11" s="74" t="s">
        <v>188</v>
      </c>
      <c r="AK11" s="48" t="s">
        <v>185</v>
      </c>
      <c r="AL11" s="62" t="str">
        <f t="shared" si="3"/>
        <v>&lt;0.001*</v>
      </c>
      <c r="AM11" s="62" t="str">
        <f t="shared" si="4"/>
        <v>&lt;0.001*</v>
      </c>
      <c r="AN11" s="62" t="str">
        <f t="shared" si="5"/>
        <v>&lt;0.001*</v>
      </c>
      <c r="AO11" s="62" t="str">
        <f t="shared" si="6"/>
        <v>&lt;0.001*</v>
      </c>
      <c r="AP11" s="62" t="str">
        <f t="shared" si="7"/>
        <v>&lt;0.001*</v>
      </c>
      <c r="AQ11" s="62" t="str">
        <f t="shared" si="8"/>
        <v>&lt;0.001*</v>
      </c>
      <c r="AR11" s="62" t="str">
        <f t="shared" si="9"/>
        <v>&lt;0.001*</v>
      </c>
      <c r="AS11" s="62" t="str">
        <f t="shared" si="10"/>
        <v>&lt;0.001*</v>
      </c>
      <c r="AT11" s="62" t="str">
        <f t="shared" si="11"/>
        <v>&lt;0.001*</v>
      </c>
      <c r="AU11" s="62" t="str">
        <f t="shared" si="12"/>
        <v>&lt;0.001*</v>
      </c>
      <c r="AV11" s="62" t="str">
        <f t="shared" si="13"/>
        <v>&lt;0.001*</v>
      </c>
    </row>
    <row r="12" spans="5:48" x14ac:dyDescent="0.25">
      <c r="F12" s="73"/>
      <c r="G12" s="73"/>
      <c r="H12" s="49" t="s">
        <v>186</v>
      </c>
      <c r="I12" s="61" t="s">
        <v>187</v>
      </c>
      <c r="J12" s="61" t="s">
        <v>187</v>
      </c>
      <c r="K12" s="61" t="s">
        <v>187</v>
      </c>
      <c r="L12" s="61" t="s">
        <v>187</v>
      </c>
      <c r="M12" s="61" t="s">
        <v>187</v>
      </c>
      <c r="N12" s="61" t="s">
        <v>187</v>
      </c>
      <c r="O12" s="61" t="s">
        <v>187</v>
      </c>
      <c r="P12" s="61" t="s">
        <v>187</v>
      </c>
      <c r="Q12" s="61" t="s">
        <v>187</v>
      </c>
      <c r="R12" s="61" t="s">
        <v>187</v>
      </c>
      <c r="S12" s="61" t="s">
        <v>187</v>
      </c>
      <c r="V12" s="47" t="str">
        <f t="shared" si="2"/>
        <v>&lt;0.001</v>
      </c>
      <c r="W12" s="47" t="str">
        <f t="shared" si="0"/>
        <v>&lt;0.001</v>
      </c>
      <c r="X12" s="47" t="str">
        <f t="shared" si="0"/>
        <v>&lt;0.001</v>
      </c>
      <c r="Y12" s="47" t="str">
        <f t="shared" si="0"/>
        <v>&lt;0.001</v>
      </c>
      <c r="Z12" s="47" t="str">
        <f t="shared" si="0"/>
        <v>&lt;0.001</v>
      </c>
      <c r="AA12" s="47" t="str">
        <f t="shared" si="0"/>
        <v>&lt;0.001</v>
      </c>
      <c r="AB12" s="47" t="str">
        <f t="shared" si="0"/>
        <v>&lt;0.001</v>
      </c>
      <c r="AC12" s="47" t="str">
        <f t="shared" si="0"/>
        <v>&lt;0.001</v>
      </c>
      <c r="AD12" s="47" t="str">
        <f t="shared" si="0"/>
        <v>&lt;0.001</v>
      </c>
      <c r="AE12" s="47" t="str">
        <f t="shared" si="0"/>
        <v>&lt;0.001</v>
      </c>
      <c r="AF12" s="47" t="str">
        <f t="shared" si="0"/>
        <v>&lt;0.001</v>
      </c>
      <c r="AI12" s="73"/>
      <c r="AJ12" s="73"/>
      <c r="AK12" s="49" t="s">
        <v>186</v>
      </c>
      <c r="AL12" s="61" t="str">
        <f t="shared" si="3"/>
        <v>&lt;0.001*</v>
      </c>
      <c r="AM12" s="61" t="str">
        <f t="shared" si="4"/>
        <v>&lt;0.001*</v>
      </c>
      <c r="AN12" s="61" t="str">
        <f t="shared" si="5"/>
        <v>&lt;0.001*</v>
      </c>
      <c r="AO12" s="61" t="str">
        <f t="shared" si="6"/>
        <v>&lt;0.001*</v>
      </c>
      <c r="AP12" s="61" t="str">
        <f t="shared" si="7"/>
        <v>&lt;0.001*</v>
      </c>
      <c r="AQ12" s="61" t="str">
        <f t="shared" si="8"/>
        <v>&lt;0.001*</v>
      </c>
      <c r="AR12" s="61" t="str">
        <f t="shared" si="9"/>
        <v>&lt;0.001*</v>
      </c>
      <c r="AS12" s="61" t="str">
        <f t="shared" si="10"/>
        <v>&lt;0.001*</v>
      </c>
      <c r="AT12" s="61" t="str">
        <f t="shared" si="11"/>
        <v>&lt;0.001*</v>
      </c>
      <c r="AU12" s="61" t="str">
        <f t="shared" si="12"/>
        <v>&lt;0.001*</v>
      </c>
      <c r="AV12" s="61" t="str">
        <f t="shared" si="13"/>
        <v>&lt;0.001*</v>
      </c>
    </row>
    <row r="20" spans="5:36" x14ac:dyDescent="0.25">
      <c r="E20" s="56" t="s">
        <v>184</v>
      </c>
      <c r="F20" s="56" t="s">
        <v>189</v>
      </c>
      <c r="G20" s="56" t="s">
        <v>191</v>
      </c>
      <c r="H20" s="54" t="s">
        <v>0</v>
      </c>
      <c r="I20" s="54" t="s">
        <v>1</v>
      </c>
      <c r="J20" s="54" t="s">
        <v>2</v>
      </c>
      <c r="K20" s="54" t="s">
        <v>3</v>
      </c>
      <c r="L20" s="54" t="s">
        <v>4</v>
      </c>
      <c r="M20" s="54" t="s">
        <v>5</v>
      </c>
      <c r="N20" s="54" t="s">
        <v>6</v>
      </c>
      <c r="O20" s="54" t="s">
        <v>7</v>
      </c>
      <c r="P20" s="54" t="s">
        <v>8</v>
      </c>
      <c r="Q20" s="54" t="s">
        <v>9</v>
      </c>
      <c r="R20" s="54" t="s">
        <v>10</v>
      </c>
      <c r="W20" s="56" t="s">
        <v>184</v>
      </c>
      <c r="X20" s="56" t="s">
        <v>189</v>
      </c>
      <c r="Y20" s="56" t="s">
        <v>191</v>
      </c>
      <c r="Z20" s="54" t="s">
        <v>0</v>
      </c>
      <c r="AA20" s="54" t="s">
        <v>1</v>
      </c>
      <c r="AB20" s="54" t="s">
        <v>2</v>
      </c>
      <c r="AC20" s="54" t="s">
        <v>3</v>
      </c>
      <c r="AD20" s="54" t="s">
        <v>4</v>
      </c>
      <c r="AE20" s="54" t="s">
        <v>5</v>
      </c>
      <c r="AF20" s="54" t="s">
        <v>6</v>
      </c>
      <c r="AG20" s="54" t="s">
        <v>7</v>
      </c>
      <c r="AH20" s="54" t="s">
        <v>8</v>
      </c>
      <c r="AI20" s="54" t="s">
        <v>9</v>
      </c>
      <c r="AJ20" s="54" t="s">
        <v>10</v>
      </c>
    </row>
    <row r="21" spans="5:36" x14ac:dyDescent="0.25">
      <c r="E21" s="69" t="s">
        <v>180</v>
      </c>
      <c r="F21" s="69" t="s">
        <v>185</v>
      </c>
      <c r="G21" s="57" t="s">
        <v>1</v>
      </c>
      <c r="H21" s="55">
        <v>1</v>
      </c>
      <c r="I21" s="55" t="s">
        <v>190</v>
      </c>
      <c r="J21" s="55" t="s">
        <v>190</v>
      </c>
      <c r="K21" s="55" t="s">
        <v>190</v>
      </c>
      <c r="L21" s="55" t="s">
        <v>190</v>
      </c>
      <c r="M21" s="55" t="s">
        <v>190</v>
      </c>
      <c r="N21" s="55" t="s">
        <v>190</v>
      </c>
      <c r="O21" s="55" t="s">
        <v>190</v>
      </c>
      <c r="P21" s="55" t="s">
        <v>190</v>
      </c>
      <c r="Q21" s="55" t="s">
        <v>190</v>
      </c>
      <c r="R21" s="55" t="s">
        <v>190</v>
      </c>
      <c r="W21" s="69" t="s">
        <v>180</v>
      </c>
      <c r="X21" s="69" t="s">
        <v>185</v>
      </c>
      <c r="Y21" s="57" t="s">
        <v>1</v>
      </c>
      <c r="Z21" s="53" t="str">
        <f>IF(H21="&lt;0.001","&lt;0.001*",IF(H21&lt;0.001,"&lt;0.001*",IF(H21&lt;0.05,_xlfn.CONCAT(TEXT(H21,"0.000"),"*"),TEXT(H21,"0.000"))))</f>
        <v>1.000</v>
      </c>
      <c r="AA21" s="53" t="str">
        <f t="shared" ref="AA21:AJ31" si="14">IF(I21="&lt;0.001","&lt;0.001*",IF(I21&lt;0.001,"&lt;0.001*",IF(I21&lt;0.05,_xlfn.CONCAT(TEXT(I21,"0.000"),"*"),TEXT(I21,"0.000"))))</f>
        <v>-</v>
      </c>
      <c r="AB21" s="53" t="str">
        <f t="shared" si="14"/>
        <v>-</v>
      </c>
      <c r="AC21" s="53" t="str">
        <f t="shared" si="14"/>
        <v>-</v>
      </c>
      <c r="AD21" s="53" t="str">
        <f t="shared" si="14"/>
        <v>-</v>
      </c>
      <c r="AE21" s="53" t="str">
        <f t="shared" si="14"/>
        <v>-</v>
      </c>
      <c r="AF21" s="53" t="str">
        <f t="shared" si="14"/>
        <v>-</v>
      </c>
      <c r="AG21" s="53" t="str">
        <f t="shared" si="14"/>
        <v>-</v>
      </c>
      <c r="AH21" s="53" t="str">
        <f t="shared" si="14"/>
        <v>-</v>
      </c>
      <c r="AI21" s="53" t="str">
        <f t="shared" si="14"/>
        <v>-</v>
      </c>
      <c r="AJ21" s="53" t="str">
        <f t="shared" si="14"/>
        <v>-</v>
      </c>
    </row>
    <row r="22" spans="5:36" x14ac:dyDescent="0.25">
      <c r="E22" s="70"/>
      <c r="F22" s="70"/>
      <c r="G22" s="58" t="s">
        <v>2</v>
      </c>
      <c r="H22" s="53">
        <v>0.17602999999999999</v>
      </c>
      <c r="I22" s="53">
        <v>0.23604</v>
      </c>
      <c r="J22" s="53" t="s">
        <v>190</v>
      </c>
      <c r="K22" s="53" t="s">
        <v>190</v>
      </c>
      <c r="L22" s="53" t="s">
        <v>190</v>
      </c>
      <c r="M22" s="53" t="s">
        <v>190</v>
      </c>
      <c r="N22" s="53" t="s">
        <v>190</v>
      </c>
      <c r="O22" s="53" t="s">
        <v>190</v>
      </c>
      <c r="P22" s="53" t="s">
        <v>190</v>
      </c>
      <c r="Q22" s="53" t="s">
        <v>190</v>
      </c>
      <c r="R22" s="53" t="s">
        <v>190</v>
      </c>
      <c r="W22" s="70"/>
      <c r="X22" s="70"/>
      <c r="Y22" s="58" t="s">
        <v>2</v>
      </c>
      <c r="Z22" s="53" t="str">
        <f t="shared" ref="Z22:Z32" si="15">IF(H22="&lt;0.001","&lt;0.001*",IF(H22&lt;0.001,"&lt;0.001*",IF(H22&lt;0.05,_xlfn.CONCAT(TEXT(H22,"0.000"),"*"),TEXT(H22,"0.000"))))</f>
        <v>0.176</v>
      </c>
      <c r="AA22" s="53" t="str">
        <f t="shared" si="14"/>
        <v>0.236</v>
      </c>
      <c r="AB22" s="53" t="str">
        <f t="shared" si="14"/>
        <v>-</v>
      </c>
      <c r="AC22" s="53" t="str">
        <f t="shared" si="14"/>
        <v>-</v>
      </c>
      <c r="AD22" s="53" t="str">
        <f t="shared" si="14"/>
        <v>-</v>
      </c>
      <c r="AE22" s="53" t="str">
        <f t="shared" si="14"/>
        <v>-</v>
      </c>
      <c r="AF22" s="53" t="str">
        <f t="shared" si="14"/>
        <v>-</v>
      </c>
      <c r="AG22" s="53" t="str">
        <f t="shared" si="14"/>
        <v>-</v>
      </c>
      <c r="AH22" s="53" t="str">
        <f t="shared" si="14"/>
        <v>-</v>
      </c>
      <c r="AI22" s="53" t="str">
        <f t="shared" si="14"/>
        <v>-</v>
      </c>
      <c r="AJ22" s="53" t="str">
        <f t="shared" si="14"/>
        <v>-</v>
      </c>
    </row>
    <row r="23" spans="5:36" x14ac:dyDescent="0.25">
      <c r="E23" s="70"/>
      <c r="F23" s="70"/>
      <c r="G23" s="58" t="s">
        <v>3</v>
      </c>
      <c r="H23" s="53">
        <v>1.56E-3</v>
      </c>
      <c r="I23" s="53">
        <v>2.5000000000000001E-3</v>
      </c>
      <c r="J23" s="53">
        <v>1</v>
      </c>
      <c r="K23" s="53" t="s">
        <v>190</v>
      </c>
      <c r="L23" s="53" t="s">
        <v>190</v>
      </c>
      <c r="M23" s="53" t="s">
        <v>190</v>
      </c>
      <c r="N23" s="53" t="s">
        <v>190</v>
      </c>
      <c r="O23" s="53" t="s">
        <v>190</v>
      </c>
      <c r="P23" s="53" t="s">
        <v>190</v>
      </c>
      <c r="Q23" s="53" t="s">
        <v>190</v>
      </c>
      <c r="R23" s="53" t="s">
        <v>190</v>
      </c>
      <c r="W23" s="70"/>
      <c r="X23" s="70"/>
      <c r="Y23" s="58" t="s">
        <v>3</v>
      </c>
      <c r="Z23" s="53" t="str">
        <f t="shared" si="15"/>
        <v>0.002*</v>
      </c>
      <c r="AA23" s="53" t="str">
        <f t="shared" si="14"/>
        <v>0.003*</v>
      </c>
      <c r="AB23" s="53" t="str">
        <f t="shared" si="14"/>
        <v>1.000</v>
      </c>
      <c r="AC23" s="53" t="str">
        <f t="shared" si="14"/>
        <v>-</v>
      </c>
      <c r="AD23" s="53" t="str">
        <f t="shared" si="14"/>
        <v>-</v>
      </c>
      <c r="AE23" s="53" t="str">
        <f t="shared" si="14"/>
        <v>-</v>
      </c>
      <c r="AF23" s="53" t="str">
        <f t="shared" si="14"/>
        <v>-</v>
      </c>
      <c r="AG23" s="53" t="str">
        <f t="shared" si="14"/>
        <v>-</v>
      </c>
      <c r="AH23" s="53" t="str">
        <f t="shared" si="14"/>
        <v>-</v>
      </c>
      <c r="AI23" s="53" t="str">
        <f t="shared" si="14"/>
        <v>-</v>
      </c>
      <c r="AJ23" s="53" t="str">
        <f t="shared" si="14"/>
        <v>-</v>
      </c>
    </row>
    <row r="24" spans="5:36" x14ac:dyDescent="0.25">
      <c r="E24" s="70"/>
      <c r="F24" s="70"/>
      <c r="G24" s="58" t="s">
        <v>4</v>
      </c>
      <c r="H24" s="53">
        <v>1</v>
      </c>
      <c r="I24" s="53">
        <v>1</v>
      </c>
      <c r="J24" s="53">
        <v>1</v>
      </c>
      <c r="K24" s="53">
        <v>0.20354</v>
      </c>
      <c r="L24" s="53" t="s">
        <v>190</v>
      </c>
      <c r="M24" s="53" t="s">
        <v>190</v>
      </c>
      <c r="N24" s="53" t="s">
        <v>190</v>
      </c>
      <c r="O24" s="53" t="s">
        <v>190</v>
      </c>
      <c r="P24" s="53" t="s">
        <v>190</v>
      </c>
      <c r="Q24" s="53" t="s">
        <v>190</v>
      </c>
      <c r="R24" s="53" t="s">
        <v>190</v>
      </c>
      <c r="W24" s="70"/>
      <c r="X24" s="70"/>
      <c r="Y24" s="58" t="s">
        <v>4</v>
      </c>
      <c r="Z24" s="53" t="str">
        <f t="shared" si="15"/>
        <v>1.000</v>
      </c>
      <c r="AA24" s="53" t="str">
        <f t="shared" si="14"/>
        <v>1.000</v>
      </c>
      <c r="AB24" s="53" t="str">
        <f t="shared" si="14"/>
        <v>1.000</v>
      </c>
      <c r="AC24" s="53" t="str">
        <f t="shared" si="14"/>
        <v>0.204</v>
      </c>
      <c r="AD24" s="53" t="str">
        <f t="shared" si="14"/>
        <v>-</v>
      </c>
      <c r="AE24" s="53" t="str">
        <f t="shared" si="14"/>
        <v>-</v>
      </c>
      <c r="AF24" s="53" t="str">
        <f t="shared" si="14"/>
        <v>-</v>
      </c>
      <c r="AG24" s="53" t="str">
        <f t="shared" si="14"/>
        <v>-</v>
      </c>
      <c r="AH24" s="53" t="str">
        <f t="shared" si="14"/>
        <v>-</v>
      </c>
      <c r="AI24" s="53" t="str">
        <f t="shared" si="14"/>
        <v>-</v>
      </c>
      <c r="AJ24" s="53" t="str">
        <f t="shared" si="14"/>
        <v>-</v>
      </c>
    </row>
    <row r="25" spans="5:36" x14ac:dyDescent="0.25">
      <c r="E25" s="70"/>
      <c r="F25" s="70"/>
      <c r="G25" s="58" t="s">
        <v>5</v>
      </c>
      <c r="H25" s="53">
        <v>1.2999999999999999E-5</v>
      </c>
      <c r="I25" s="53">
        <v>2.3E-5</v>
      </c>
      <c r="J25" s="53">
        <v>0.68325000000000002</v>
      </c>
      <c r="K25" s="53">
        <v>1</v>
      </c>
      <c r="L25" s="53">
        <v>6.1799999999999997E-3</v>
      </c>
      <c r="M25" s="53" t="s">
        <v>190</v>
      </c>
      <c r="N25" s="53" t="s">
        <v>190</v>
      </c>
      <c r="O25" s="53" t="s">
        <v>190</v>
      </c>
      <c r="P25" s="53" t="s">
        <v>190</v>
      </c>
      <c r="Q25" s="53" t="s">
        <v>190</v>
      </c>
      <c r="R25" s="53" t="s">
        <v>190</v>
      </c>
      <c r="W25" s="70"/>
      <c r="X25" s="70"/>
      <c r="Y25" s="58" t="s">
        <v>5</v>
      </c>
      <c r="Z25" s="53" t="str">
        <f t="shared" si="15"/>
        <v>&lt;0.001*</v>
      </c>
      <c r="AA25" s="53" t="str">
        <f t="shared" si="14"/>
        <v>&lt;0.001*</v>
      </c>
      <c r="AB25" s="53" t="str">
        <f t="shared" si="14"/>
        <v>0.683</v>
      </c>
      <c r="AC25" s="53" t="str">
        <f t="shared" si="14"/>
        <v>1.000</v>
      </c>
      <c r="AD25" s="53" t="str">
        <f t="shared" si="14"/>
        <v>0.006*</v>
      </c>
      <c r="AE25" s="53" t="str">
        <f t="shared" si="14"/>
        <v>-</v>
      </c>
      <c r="AF25" s="53" t="str">
        <f t="shared" si="14"/>
        <v>-</v>
      </c>
      <c r="AG25" s="53" t="str">
        <f t="shared" si="14"/>
        <v>-</v>
      </c>
      <c r="AH25" s="53" t="str">
        <f t="shared" si="14"/>
        <v>-</v>
      </c>
      <c r="AI25" s="53" t="str">
        <f t="shared" si="14"/>
        <v>-</v>
      </c>
      <c r="AJ25" s="53" t="str">
        <f t="shared" si="14"/>
        <v>-</v>
      </c>
    </row>
    <row r="26" spans="5:36" x14ac:dyDescent="0.25">
      <c r="E26" s="70"/>
      <c r="F26" s="70"/>
      <c r="G26" s="58" t="s">
        <v>6</v>
      </c>
      <c r="H26" s="53">
        <v>1</v>
      </c>
      <c r="I26" s="53">
        <v>1</v>
      </c>
      <c r="J26" s="53">
        <v>0.21823000000000001</v>
      </c>
      <c r="K26" s="53">
        <v>2.2499999999999998E-3</v>
      </c>
      <c r="L26" s="53">
        <v>1</v>
      </c>
      <c r="M26" s="53">
        <v>2.0000000000000002E-5</v>
      </c>
      <c r="N26" s="53" t="s">
        <v>190</v>
      </c>
      <c r="O26" s="53" t="s">
        <v>190</v>
      </c>
      <c r="P26" s="53" t="s">
        <v>190</v>
      </c>
      <c r="Q26" s="53" t="s">
        <v>190</v>
      </c>
      <c r="R26" s="53" t="s">
        <v>190</v>
      </c>
      <c r="W26" s="70"/>
      <c r="X26" s="70"/>
      <c r="Y26" s="58" t="s">
        <v>6</v>
      </c>
      <c r="Z26" s="53" t="str">
        <f t="shared" si="15"/>
        <v>1.000</v>
      </c>
      <c r="AA26" s="53" t="str">
        <f t="shared" si="14"/>
        <v>1.000</v>
      </c>
      <c r="AB26" s="53" t="str">
        <f t="shared" si="14"/>
        <v>0.218</v>
      </c>
      <c r="AC26" s="53" t="str">
        <f t="shared" si="14"/>
        <v>0.002*</v>
      </c>
      <c r="AD26" s="53" t="str">
        <f t="shared" si="14"/>
        <v>1.000</v>
      </c>
      <c r="AE26" s="53" t="str">
        <f t="shared" si="14"/>
        <v>&lt;0.001*</v>
      </c>
      <c r="AF26" s="53" t="str">
        <f t="shared" si="14"/>
        <v>-</v>
      </c>
      <c r="AG26" s="53" t="str">
        <f t="shared" si="14"/>
        <v>-</v>
      </c>
      <c r="AH26" s="53" t="str">
        <f t="shared" si="14"/>
        <v>-</v>
      </c>
      <c r="AI26" s="53" t="str">
        <f t="shared" si="14"/>
        <v>-</v>
      </c>
      <c r="AJ26" s="53" t="str">
        <f t="shared" si="14"/>
        <v>-</v>
      </c>
    </row>
    <row r="27" spans="5:36" x14ac:dyDescent="0.25">
      <c r="E27" s="70"/>
      <c r="F27" s="70"/>
      <c r="G27" s="58" t="s">
        <v>7</v>
      </c>
      <c r="H27" s="53">
        <v>1</v>
      </c>
      <c r="I27" s="53">
        <v>1</v>
      </c>
      <c r="J27" s="53">
        <v>0.20354</v>
      </c>
      <c r="K27" s="53">
        <v>1.9400000000000001E-3</v>
      </c>
      <c r="L27" s="53">
        <v>1</v>
      </c>
      <c r="M27" s="53">
        <v>1.7E-5</v>
      </c>
      <c r="N27" s="53">
        <v>1</v>
      </c>
      <c r="O27" s="53" t="s">
        <v>190</v>
      </c>
      <c r="P27" s="53" t="s">
        <v>190</v>
      </c>
      <c r="Q27" s="53" t="s">
        <v>190</v>
      </c>
      <c r="R27" s="53" t="s">
        <v>190</v>
      </c>
      <c r="W27" s="70"/>
      <c r="X27" s="70"/>
      <c r="Y27" s="58" t="s">
        <v>7</v>
      </c>
      <c r="Z27" s="53" t="str">
        <f t="shared" si="15"/>
        <v>1.000</v>
      </c>
      <c r="AA27" s="53" t="str">
        <f t="shared" si="14"/>
        <v>1.000</v>
      </c>
      <c r="AB27" s="53" t="str">
        <f t="shared" si="14"/>
        <v>0.204</v>
      </c>
      <c r="AC27" s="53" t="str">
        <f t="shared" si="14"/>
        <v>0.002*</v>
      </c>
      <c r="AD27" s="53" t="str">
        <f t="shared" si="14"/>
        <v>1.000</v>
      </c>
      <c r="AE27" s="53" t="str">
        <f t="shared" si="14"/>
        <v>&lt;0.001*</v>
      </c>
      <c r="AF27" s="53" t="str">
        <f t="shared" si="14"/>
        <v>1.000</v>
      </c>
      <c r="AG27" s="53" t="str">
        <f t="shared" si="14"/>
        <v>-</v>
      </c>
      <c r="AH27" s="53" t="str">
        <f t="shared" si="14"/>
        <v>-</v>
      </c>
      <c r="AI27" s="53" t="str">
        <f t="shared" si="14"/>
        <v>-</v>
      </c>
      <c r="AJ27" s="53" t="str">
        <f t="shared" si="14"/>
        <v>-</v>
      </c>
    </row>
    <row r="28" spans="5:36" x14ac:dyDescent="0.25">
      <c r="E28" s="70"/>
      <c r="F28" s="70"/>
      <c r="G28" s="58" t="s">
        <v>8</v>
      </c>
      <c r="H28" s="53">
        <v>1</v>
      </c>
      <c r="I28" s="53">
        <v>1</v>
      </c>
      <c r="J28" s="53">
        <v>1</v>
      </c>
      <c r="K28" s="53">
        <v>1</v>
      </c>
      <c r="L28" s="53">
        <v>1</v>
      </c>
      <c r="M28" s="53">
        <v>7.5579999999999994E-2</v>
      </c>
      <c r="N28" s="53">
        <v>1</v>
      </c>
      <c r="O28" s="53">
        <v>1</v>
      </c>
      <c r="P28" s="53" t="s">
        <v>190</v>
      </c>
      <c r="Q28" s="53" t="s">
        <v>190</v>
      </c>
      <c r="R28" s="53" t="s">
        <v>190</v>
      </c>
      <c r="W28" s="70"/>
      <c r="X28" s="70"/>
      <c r="Y28" s="58" t="s">
        <v>8</v>
      </c>
      <c r="Z28" s="53" t="str">
        <f t="shared" si="15"/>
        <v>1.000</v>
      </c>
      <c r="AA28" s="53" t="str">
        <f t="shared" si="14"/>
        <v>1.000</v>
      </c>
      <c r="AB28" s="53" t="str">
        <f t="shared" si="14"/>
        <v>1.000</v>
      </c>
      <c r="AC28" s="53" t="str">
        <f t="shared" si="14"/>
        <v>1.000</v>
      </c>
      <c r="AD28" s="53" t="str">
        <f t="shared" si="14"/>
        <v>1.000</v>
      </c>
      <c r="AE28" s="53" t="str">
        <f t="shared" si="14"/>
        <v>0.076</v>
      </c>
      <c r="AF28" s="53" t="str">
        <f t="shared" si="14"/>
        <v>1.000</v>
      </c>
      <c r="AG28" s="53" t="str">
        <f t="shared" si="14"/>
        <v>1.000</v>
      </c>
      <c r="AH28" s="53" t="str">
        <f t="shared" si="14"/>
        <v>-</v>
      </c>
      <c r="AI28" s="53" t="str">
        <f t="shared" si="14"/>
        <v>-</v>
      </c>
      <c r="AJ28" s="53" t="str">
        <f t="shared" si="14"/>
        <v>-</v>
      </c>
    </row>
    <row r="29" spans="5:36" x14ac:dyDescent="0.25">
      <c r="E29" s="70"/>
      <c r="F29" s="70"/>
      <c r="G29" s="58" t="s">
        <v>9</v>
      </c>
      <c r="H29" s="53">
        <v>1</v>
      </c>
      <c r="I29" s="53">
        <v>1</v>
      </c>
      <c r="J29" s="53">
        <v>1</v>
      </c>
      <c r="K29" s="53">
        <v>6.2E-2</v>
      </c>
      <c r="L29" s="53">
        <v>1</v>
      </c>
      <c r="M29" s="53">
        <v>1.31E-3</v>
      </c>
      <c r="N29" s="53">
        <v>1</v>
      </c>
      <c r="O29" s="53">
        <v>1</v>
      </c>
      <c r="P29" s="53">
        <v>1</v>
      </c>
      <c r="Q29" s="53" t="s">
        <v>190</v>
      </c>
      <c r="R29" s="53" t="s">
        <v>190</v>
      </c>
      <c r="W29" s="70"/>
      <c r="X29" s="70"/>
      <c r="Y29" s="58" t="s">
        <v>9</v>
      </c>
      <c r="Z29" s="53" t="str">
        <f t="shared" si="15"/>
        <v>1.000</v>
      </c>
      <c r="AA29" s="53" t="str">
        <f t="shared" si="14"/>
        <v>1.000</v>
      </c>
      <c r="AB29" s="53" t="str">
        <f t="shared" si="14"/>
        <v>1.000</v>
      </c>
      <c r="AC29" s="53" t="str">
        <f t="shared" si="14"/>
        <v>0.062</v>
      </c>
      <c r="AD29" s="53" t="str">
        <f t="shared" si="14"/>
        <v>1.000</v>
      </c>
      <c r="AE29" s="53" t="str">
        <f t="shared" si="14"/>
        <v>0.001*</v>
      </c>
      <c r="AF29" s="53" t="str">
        <f t="shared" si="14"/>
        <v>1.000</v>
      </c>
      <c r="AG29" s="53" t="str">
        <f t="shared" si="14"/>
        <v>1.000</v>
      </c>
      <c r="AH29" s="53" t="str">
        <f t="shared" si="14"/>
        <v>1.000</v>
      </c>
      <c r="AI29" s="53" t="str">
        <f t="shared" si="14"/>
        <v>-</v>
      </c>
      <c r="AJ29" s="53" t="str">
        <f t="shared" si="14"/>
        <v>-</v>
      </c>
    </row>
    <row r="30" spans="5:36" x14ac:dyDescent="0.25">
      <c r="E30" s="70"/>
      <c r="F30" s="70"/>
      <c r="G30" s="58" t="s">
        <v>10</v>
      </c>
      <c r="H30" s="53">
        <v>1</v>
      </c>
      <c r="I30" s="53">
        <v>1</v>
      </c>
      <c r="J30" s="53">
        <v>9.962E-2</v>
      </c>
      <c r="K30" s="53">
        <v>7.1000000000000002E-4</v>
      </c>
      <c r="L30" s="53">
        <v>1</v>
      </c>
      <c r="M30" s="53">
        <v>4.6999999999999999E-6</v>
      </c>
      <c r="N30" s="53">
        <v>1</v>
      </c>
      <c r="O30" s="53">
        <v>1</v>
      </c>
      <c r="P30" s="53">
        <v>0.84028999999999998</v>
      </c>
      <c r="Q30" s="53">
        <v>1</v>
      </c>
      <c r="R30" s="53" t="s">
        <v>190</v>
      </c>
      <c r="W30" s="70"/>
      <c r="X30" s="70"/>
      <c r="Y30" s="58" t="s">
        <v>10</v>
      </c>
      <c r="Z30" s="53" t="str">
        <f t="shared" si="15"/>
        <v>1.000</v>
      </c>
      <c r="AA30" s="53" t="str">
        <f t="shared" si="14"/>
        <v>1.000</v>
      </c>
      <c r="AB30" s="53" t="str">
        <f t="shared" si="14"/>
        <v>0.100</v>
      </c>
      <c r="AC30" s="53" t="str">
        <f t="shared" si="14"/>
        <v>&lt;0.001*</v>
      </c>
      <c r="AD30" s="53" t="str">
        <f t="shared" si="14"/>
        <v>1.000</v>
      </c>
      <c r="AE30" s="53" t="str">
        <f t="shared" si="14"/>
        <v>&lt;0.001*</v>
      </c>
      <c r="AF30" s="53" t="str">
        <f t="shared" si="14"/>
        <v>1.000</v>
      </c>
      <c r="AG30" s="53" t="str">
        <f t="shared" si="14"/>
        <v>1.000</v>
      </c>
      <c r="AH30" s="53" t="str">
        <f t="shared" si="14"/>
        <v>0.840</v>
      </c>
      <c r="AI30" s="53" t="str">
        <f t="shared" si="14"/>
        <v>1.000</v>
      </c>
      <c r="AJ30" s="53" t="str">
        <f t="shared" si="14"/>
        <v>-</v>
      </c>
    </row>
    <row r="31" spans="5:36" x14ac:dyDescent="0.25">
      <c r="E31" s="70"/>
      <c r="F31" s="71"/>
      <c r="G31" s="59" t="s">
        <v>11</v>
      </c>
      <c r="H31" s="77" t="s">
        <v>187</v>
      </c>
      <c r="I31" s="77" t="s">
        <v>187</v>
      </c>
      <c r="J31" s="77">
        <v>1.0999999999999999E-8</v>
      </c>
      <c r="K31" s="77">
        <v>2.1999999999999999E-5</v>
      </c>
      <c r="L31" s="77">
        <v>2.8000000000000002E-13</v>
      </c>
      <c r="M31" s="77">
        <v>2.3999999999999998E-3</v>
      </c>
      <c r="N31" s="77" t="s">
        <v>187</v>
      </c>
      <c r="O31" s="77" t="s">
        <v>187</v>
      </c>
      <c r="P31" s="77">
        <v>5.0000000000000002E-11</v>
      </c>
      <c r="Q31" s="77">
        <v>1.1999999999999999E-14</v>
      </c>
      <c r="R31" s="77" t="s">
        <v>187</v>
      </c>
      <c r="W31" s="70"/>
      <c r="X31" s="71"/>
      <c r="Y31" s="59" t="s">
        <v>11</v>
      </c>
      <c r="Z31" s="77" t="str">
        <f t="shared" si="15"/>
        <v>&lt;0.001*</v>
      </c>
      <c r="AA31" s="77" t="str">
        <f t="shared" si="14"/>
        <v>&lt;0.001*</v>
      </c>
      <c r="AB31" s="77" t="str">
        <f t="shared" si="14"/>
        <v>&lt;0.001*</v>
      </c>
      <c r="AC31" s="77" t="str">
        <f t="shared" si="14"/>
        <v>&lt;0.001*</v>
      </c>
      <c r="AD31" s="77" t="str">
        <f t="shared" si="14"/>
        <v>&lt;0.001*</v>
      </c>
      <c r="AE31" s="77" t="str">
        <f t="shared" si="14"/>
        <v>0.002*</v>
      </c>
      <c r="AF31" s="77" t="str">
        <f t="shared" si="14"/>
        <v>&lt;0.001*</v>
      </c>
      <c r="AG31" s="77" t="str">
        <f t="shared" si="14"/>
        <v>&lt;0.001*</v>
      </c>
      <c r="AH31" s="77" t="str">
        <f t="shared" si="14"/>
        <v>&lt;0.001*</v>
      </c>
      <c r="AI31" s="77" t="str">
        <f t="shared" si="14"/>
        <v>&lt;0.001*</v>
      </c>
      <c r="AJ31" s="77" t="str">
        <f t="shared" si="14"/>
        <v>&lt;0.001*</v>
      </c>
    </row>
    <row r="32" spans="5:36" x14ac:dyDescent="0.25">
      <c r="E32" s="70"/>
      <c r="F32" s="70" t="s">
        <v>186</v>
      </c>
      <c r="G32" s="58" t="s">
        <v>1</v>
      </c>
      <c r="H32" s="53">
        <v>1</v>
      </c>
      <c r="I32" s="53" t="s">
        <v>190</v>
      </c>
      <c r="J32" s="53" t="s">
        <v>190</v>
      </c>
      <c r="K32" s="53" t="s">
        <v>190</v>
      </c>
      <c r="L32" s="53" t="s">
        <v>190</v>
      </c>
      <c r="M32" s="53" t="s">
        <v>190</v>
      </c>
      <c r="N32" s="53" t="s">
        <v>190</v>
      </c>
      <c r="O32" s="53" t="s">
        <v>190</v>
      </c>
      <c r="P32" s="53" t="s">
        <v>190</v>
      </c>
      <c r="Q32" s="53" t="s">
        <v>190</v>
      </c>
      <c r="R32" s="53" t="s">
        <v>190</v>
      </c>
      <c r="W32" s="70"/>
      <c r="X32" s="69" t="s">
        <v>186</v>
      </c>
      <c r="Y32" s="57" t="s">
        <v>1</v>
      </c>
      <c r="Z32" s="55" t="str">
        <f t="shared" si="15"/>
        <v>1.000</v>
      </c>
      <c r="AA32" s="55" t="str">
        <f t="shared" ref="AA32:AA75" si="16">IF(I32="&lt;0.001","&lt;0.001*",IF(I32&lt;0.001,"&lt;0.001*",IF(I32&lt;0.05,_xlfn.CONCAT(TEXT(I32,"0.000"),"*"),TEXT(I32,"0.000"))))</f>
        <v>-</v>
      </c>
      <c r="AB32" s="55" t="str">
        <f t="shared" ref="AB32:AB75" si="17">IF(J32="&lt;0.001","&lt;0.001*",IF(J32&lt;0.001,"&lt;0.001*",IF(J32&lt;0.05,_xlfn.CONCAT(TEXT(J32,"0.000"),"*"),TEXT(J32,"0.000"))))</f>
        <v>-</v>
      </c>
      <c r="AC32" s="55" t="str">
        <f t="shared" ref="AC32:AC75" si="18">IF(K32="&lt;0.001","&lt;0.001*",IF(K32&lt;0.001,"&lt;0.001*",IF(K32&lt;0.05,_xlfn.CONCAT(TEXT(K32,"0.000"),"*"),TEXT(K32,"0.000"))))</f>
        <v>-</v>
      </c>
      <c r="AD32" s="55" t="str">
        <f t="shared" ref="AD32:AD75" si="19">IF(L32="&lt;0.001","&lt;0.001*",IF(L32&lt;0.001,"&lt;0.001*",IF(L32&lt;0.05,_xlfn.CONCAT(TEXT(L32,"0.000"),"*"),TEXT(L32,"0.000"))))</f>
        <v>-</v>
      </c>
      <c r="AE32" s="55" t="str">
        <f t="shared" ref="AE32:AE75" si="20">IF(M32="&lt;0.001","&lt;0.001*",IF(M32&lt;0.001,"&lt;0.001*",IF(M32&lt;0.05,_xlfn.CONCAT(TEXT(M32,"0.000"),"*"),TEXT(M32,"0.000"))))</f>
        <v>-</v>
      </c>
      <c r="AF32" s="55" t="str">
        <f t="shared" ref="AF32:AF75" si="21">IF(N32="&lt;0.001","&lt;0.001*",IF(N32&lt;0.001,"&lt;0.001*",IF(N32&lt;0.05,_xlfn.CONCAT(TEXT(N32,"0.000"),"*"),TEXT(N32,"0.000"))))</f>
        <v>-</v>
      </c>
      <c r="AG32" s="55" t="str">
        <f t="shared" ref="AG32:AG75" si="22">IF(O32="&lt;0.001","&lt;0.001*",IF(O32&lt;0.001,"&lt;0.001*",IF(O32&lt;0.05,_xlfn.CONCAT(TEXT(O32,"0.000"),"*"),TEXT(O32,"0.000"))))</f>
        <v>-</v>
      </c>
      <c r="AH32" s="55" t="str">
        <f t="shared" ref="AH32:AH75" si="23">IF(P32="&lt;0.001","&lt;0.001*",IF(P32&lt;0.001,"&lt;0.001*",IF(P32&lt;0.05,_xlfn.CONCAT(TEXT(P32,"0.000"),"*"),TEXT(P32,"0.000"))))</f>
        <v>-</v>
      </c>
      <c r="AI32" s="55" t="str">
        <f t="shared" ref="AI32:AI75" si="24">IF(Q32="&lt;0.001","&lt;0.001*",IF(Q32&lt;0.001,"&lt;0.001*",IF(Q32&lt;0.05,_xlfn.CONCAT(TEXT(Q32,"0.000"),"*"),TEXT(Q32,"0.000"))))</f>
        <v>-</v>
      </c>
      <c r="AJ32" s="55" t="str">
        <f t="shared" ref="AJ32:AJ75" si="25">IF(R32="&lt;0.001","&lt;0.001*",IF(R32&lt;0.001,"&lt;0.001*",IF(R32&lt;0.05,_xlfn.CONCAT(TEXT(R32,"0.000"),"*"),TEXT(R32,"0.000"))))</f>
        <v>-</v>
      </c>
    </row>
    <row r="33" spans="5:36" x14ac:dyDescent="0.25">
      <c r="E33" s="70"/>
      <c r="F33" s="70"/>
      <c r="G33" s="58" t="s">
        <v>2</v>
      </c>
      <c r="H33" s="53">
        <v>0.21429999999999999</v>
      </c>
      <c r="I33" s="53">
        <v>0.27939999999999998</v>
      </c>
      <c r="J33" s="53" t="s">
        <v>190</v>
      </c>
      <c r="K33" s="53" t="s">
        <v>190</v>
      </c>
      <c r="L33" s="53" t="s">
        <v>190</v>
      </c>
      <c r="M33" s="53" t="s">
        <v>190</v>
      </c>
      <c r="N33" s="53" t="s">
        <v>190</v>
      </c>
      <c r="O33" s="53" t="s">
        <v>190</v>
      </c>
      <c r="P33" s="53" t="s">
        <v>190</v>
      </c>
      <c r="Q33" s="53" t="s">
        <v>190</v>
      </c>
      <c r="R33" s="53" t="s">
        <v>190</v>
      </c>
      <c r="W33" s="70"/>
      <c r="X33" s="70"/>
      <c r="Y33" s="58" t="s">
        <v>2</v>
      </c>
      <c r="Z33" s="53" t="str">
        <f t="shared" ref="Z33:Z64" si="26">IF(H33="&lt;0.001","&lt;0.001*",IF(H33&lt;0.001,"&lt;0.001*",IF(H33&lt;0.05,_xlfn.CONCAT(TEXT(H33,"0.000"),"*"),TEXT(H33,"0.000"))))</f>
        <v>0.214</v>
      </c>
      <c r="AA33" s="53" t="str">
        <f t="shared" si="16"/>
        <v>0.279</v>
      </c>
      <c r="AB33" s="53" t="str">
        <f t="shared" si="17"/>
        <v>-</v>
      </c>
      <c r="AC33" s="53" t="str">
        <f t="shared" si="18"/>
        <v>-</v>
      </c>
      <c r="AD33" s="53" t="str">
        <f t="shared" si="19"/>
        <v>-</v>
      </c>
      <c r="AE33" s="53" t="str">
        <f t="shared" si="20"/>
        <v>-</v>
      </c>
      <c r="AF33" s="53" t="str">
        <f t="shared" si="21"/>
        <v>-</v>
      </c>
      <c r="AG33" s="53" t="str">
        <f t="shared" si="22"/>
        <v>-</v>
      </c>
      <c r="AH33" s="53" t="str">
        <f t="shared" si="23"/>
        <v>-</v>
      </c>
      <c r="AI33" s="53" t="str">
        <f t="shared" si="24"/>
        <v>-</v>
      </c>
      <c r="AJ33" s="53" t="str">
        <f t="shared" si="25"/>
        <v>-</v>
      </c>
    </row>
    <row r="34" spans="5:36" x14ac:dyDescent="0.25">
      <c r="E34" s="70"/>
      <c r="F34" s="70"/>
      <c r="G34" s="58" t="s">
        <v>3</v>
      </c>
      <c r="H34" s="53">
        <v>4.0000000000000001E-3</v>
      </c>
      <c r="I34" s="53">
        <v>6.4000000000000003E-3</v>
      </c>
      <c r="J34" s="53">
        <v>0.98409999999999997</v>
      </c>
      <c r="K34" s="53" t="s">
        <v>190</v>
      </c>
      <c r="L34" s="53" t="s">
        <v>190</v>
      </c>
      <c r="M34" s="53" t="s">
        <v>190</v>
      </c>
      <c r="N34" s="53" t="s">
        <v>190</v>
      </c>
      <c r="O34" s="53" t="s">
        <v>190</v>
      </c>
      <c r="P34" s="53" t="s">
        <v>190</v>
      </c>
      <c r="Q34" s="53" t="s">
        <v>190</v>
      </c>
      <c r="R34" s="53" t="s">
        <v>190</v>
      </c>
      <c r="W34" s="70"/>
      <c r="X34" s="70"/>
      <c r="Y34" s="58" t="s">
        <v>3</v>
      </c>
      <c r="Z34" s="53" t="str">
        <f t="shared" si="26"/>
        <v>0.004*</v>
      </c>
      <c r="AA34" s="53" t="str">
        <f t="shared" si="16"/>
        <v>0.006*</v>
      </c>
      <c r="AB34" s="53" t="str">
        <f t="shared" si="17"/>
        <v>0.984</v>
      </c>
      <c r="AC34" s="53" t="str">
        <f t="shared" si="18"/>
        <v>-</v>
      </c>
      <c r="AD34" s="53" t="str">
        <f t="shared" si="19"/>
        <v>-</v>
      </c>
      <c r="AE34" s="53" t="str">
        <f t="shared" si="20"/>
        <v>-</v>
      </c>
      <c r="AF34" s="53" t="str">
        <f t="shared" si="21"/>
        <v>-</v>
      </c>
      <c r="AG34" s="53" t="str">
        <f t="shared" si="22"/>
        <v>-</v>
      </c>
      <c r="AH34" s="53" t="str">
        <f t="shared" si="23"/>
        <v>-</v>
      </c>
      <c r="AI34" s="53" t="str">
        <f t="shared" si="24"/>
        <v>-</v>
      </c>
      <c r="AJ34" s="53" t="str">
        <f t="shared" si="25"/>
        <v>-</v>
      </c>
    </row>
    <row r="35" spans="5:36" x14ac:dyDescent="0.25">
      <c r="E35" s="70"/>
      <c r="F35" s="70"/>
      <c r="G35" s="58" t="s">
        <v>4</v>
      </c>
      <c r="H35" s="53">
        <v>0.97750000000000004</v>
      </c>
      <c r="I35" s="53">
        <v>0.98980000000000001</v>
      </c>
      <c r="J35" s="53">
        <v>0.96199999999999997</v>
      </c>
      <c r="K35" s="53">
        <v>0.2429</v>
      </c>
      <c r="L35" s="53" t="s">
        <v>190</v>
      </c>
      <c r="M35" s="53" t="s">
        <v>190</v>
      </c>
      <c r="N35" s="53" t="s">
        <v>190</v>
      </c>
      <c r="O35" s="53" t="s">
        <v>190</v>
      </c>
      <c r="P35" s="53" t="s">
        <v>190</v>
      </c>
      <c r="Q35" s="53" t="s">
        <v>190</v>
      </c>
      <c r="R35" s="53" t="s">
        <v>190</v>
      </c>
      <c r="W35" s="70"/>
      <c r="X35" s="70"/>
      <c r="Y35" s="58" t="s">
        <v>4</v>
      </c>
      <c r="Z35" s="53" t="str">
        <f t="shared" si="26"/>
        <v>0.978</v>
      </c>
      <c r="AA35" s="53" t="str">
        <f t="shared" si="16"/>
        <v>0.990</v>
      </c>
      <c r="AB35" s="53" t="str">
        <f t="shared" si="17"/>
        <v>0.962</v>
      </c>
      <c r="AC35" s="53" t="str">
        <f t="shared" si="18"/>
        <v>0.243</v>
      </c>
      <c r="AD35" s="53" t="str">
        <f t="shared" si="19"/>
        <v>-</v>
      </c>
      <c r="AE35" s="53" t="str">
        <f t="shared" si="20"/>
        <v>-</v>
      </c>
      <c r="AF35" s="53" t="str">
        <f t="shared" si="21"/>
        <v>-</v>
      </c>
      <c r="AG35" s="53" t="str">
        <f t="shared" si="22"/>
        <v>-</v>
      </c>
      <c r="AH35" s="53" t="str">
        <f t="shared" si="23"/>
        <v>-</v>
      </c>
      <c r="AI35" s="53" t="str">
        <f t="shared" si="24"/>
        <v>-</v>
      </c>
      <c r="AJ35" s="53" t="str">
        <f t="shared" si="25"/>
        <v>-</v>
      </c>
    </row>
    <row r="36" spans="5:36" x14ac:dyDescent="0.25">
      <c r="E36" s="70"/>
      <c r="F36" s="70"/>
      <c r="G36" s="58" t="s">
        <v>5</v>
      </c>
      <c r="H36" s="53">
        <v>4.6E-5</v>
      </c>
      <c r="I36" s="53">
        <v>8.5000000000000006E-5</v>
      </c>
      <c r="J36" s="53">
        <v>0.52500000000000002</v>
      </c>
      <c r="K36" s="53">
        <v>0.99819999999999998</v>
      </c>
      <c r="L36" s="53">
        <v>1.43E-2</v>
      </c>
      <c r="M36" s="53" t="s">
        <v>190</v>
      </c>
      <c r="N36" s="53" t="s">
        <v>190</v>
      </c>
      <c r="O36" s="53" t="s">
        <v>190</v>
      </c>
      <c r="P36" s="53" t="s">
        <v>190</v>
      </c>
      <c r="Q36" s="53" t="s">
        <v>190</v>
      </c>
      <c r="R36" s="53" t="s">
        <v>190</v>
      </c>
      <c r="W36" s="70"/>
      <c r="X36" s="70"/>
      <c r="Y36" s="58" t="s">
        <v>5</v>
      </c>
      <c r="Z36" s="53" t="str">
        <f t="shared" si="26"/>
        <v>&lt;0.001*</v>
      </c>
      <c r="AA36" s="53" t="str">
        <f t="shared" si="16"/>
        <v>&lt;0.001*</v>
      </c>
      <c r="AB36" s="53" t="str">
        <f t="shared" si="17"/>
        <v>0.525</v>
      </c>
      <c r="AC36" s="53" t="str">
        <f t="shared" si="18"/>
        <v>0.998</v>
      </c>
      <c r="AD36" s="53" t="str">
        <f t="shared" si="19"/>
        <v>0.014*</v>
      </c>
      <c r="AE36" s="53" t="str">
        <f t="shared" si="20"/>
        <v>-</v>
      </c>
      <c r="AF36" s="53" t="str">
        <f t="shared" si="21"/>
        <v>-</v>
      </c>
      <c r="AG36" s="53" t="str">
        <f t="shared" si="22"/>
        <v>-</v>
      </c>
      <c r="AH36" s="53" t="str">
        <f t="shared" si="23"/>
        <v>-</v>
      </c>
      <c r="AI36" s="53" t="str">
        <f t="shared" si="24"/>
        <v>-</v>
      </c>
      <c r="AJ36" s="53" t="str">
        <f t="shared" si="25"/>
        <v>-</v>
      </c>
    </row>
    <row r="37" spans="5:36" x14ac:dyDescent="0.25">
      <c r="E37" s="70"/>
      <c r="F37" s="70"/>
      <c r="G37" s="58" t="s">
        <v>6</v>
      </c>
      <c r="H37" s="53">
        <v>1</v>
      </c>
      <c r="I37" s="53">
        <v>1</v>
      </c>
      <c r="J37" s="53">
        <v>0.26079999999999998</v>
      </c>
      <c r="K37" s="53">
        <v>5.7000000000000002E-3</v>
      </c>
      <c r="L37" s="53">
        <v>0.98719999999999997</v>
      </c>
      <c r="M37" s="53">
        <v>7.2000000000000002E-5</v>
      </c>
      <c r="N37" s="53" t="s">
        <v>190</v>
      </c>
      <c r="O37" s="53" t="s">
        <v>190</v>
      </c>
      <c r="P37" s="53" t="s">
        <v>190</v>
      </c>
      <c r="Q37" s="53" t="s">
        <v>190</v>
      </c>
      <c r="R37" s="53" t="s">
        <v>190</v>
      </c>
      <c r="W37" s="70"/>
      <c r="X37" s="70"/>
      <c r="Y37" s="58" t="s">
        <v>6</v>
      </c>
      <c r="Z37" s="53" t="str">
        <f t="shared" si="26"/>
        <v>1.000</v>
      </c>
      <c r="AA37" s="53" t="str">
        <f t="shared" si="16"/>
        <v>1.000</v>
      </c>
      <c r="AB37" s="53" t="str">
        <f t="shared" si="17"/>
        <v>0.261</v>
      </c>
      <c r="AC37" s="53" t="str">
        <f t="shared" si="18"/>
        <v>0.006*</v>
      </c>
      <c r="AD37" s="53" t="str">
        <f t="shared" si="19"/>
        <v>0.987</v>
      </c>
      <c r="AE37" s="53" t="str">
        <f t="shared" si="20"/>
        <v>&lt;0.001*</v>
      </c>
      <c r="AF37" s="53" t="str">
        <f t="shared" si="21"/>
        <v>-</v>
      </c>
      <c r="AG37" s="53" t="str">
        <f t="shared" si="22"/>
        <v>-</v>
      </c>
      <c r="AH37" s="53" t="str">
        <f t="shared" si="23"/>
        <v>-</v>
      </c>
      <c r="AI37" s="53" t="str">
        <f t="shared" si="24"/>
        <v>-</v>
      </c>
      <c r="AJ37" s="53" t="str">
        <f t="shared" si="25"/>
        <v>-</v>
      </c>
    </row>
    <row r="38" spans="5:36" x14ac:dyDescent="0.25">
      <c r="E38" s="70"/>
      <c r="F38" s="70"/>
      <c r="G38" s="58" t="s">
        <v>7</v>
      </c>
      <c r="H38" s="53">
        <v>1</v>
      </c>
      <c r="I38" s="53">
        <v>1</v>
      </c>
      <c r="J38" s="53">
        <v>0.24049999999999999</v>
      </c>
      <c r="K38" s="53">
        <v>4.8999999999999998E-3</v>
      </c>
      <c r="L38" s="53">
        <v>0.98360000000000003</v>
      </c>
      <c r="M38" s="53">
        <v>6.0000000000000002E-5</v>
      </c>
      <c r="N38" s="53">
        <v>1</v>
      </c>
      <c r="O38" s="53" t="s">
        <v>190</v>
      </c>
      <c r="P38" s="53" t="s">
        <v>190</v>
      </c>
      <c r="Q38" s="53" t="s">
        <v>190</v>
      </c>
      <c r="R38" s="53" t="s">
        <v>190</v>
      </c>
      <c r="W38" s="70"/>
      <c r="X38" s="70"/>
      <c r="Y38" s="58" t="s">
        <v>7</v>
      </c>
      <c r="Z38" s="53" t="str">
        <f t="shared" si="26"/>
        <v>1.000</v>
      </c>
      <c r="AA38" s="53" t="str">
        <f t="shared" si="16"/>
        <v>1.000</v>
      </c>
      <c r="AB38" s="53" t="str">
        <f t="shared" si="17"/>
        <v>0.241</v>
      </c>
      <c r="AC38" s="53" t="str">
        <f t="shared" si="18"/>
        <v>0.005*</v>
      </c>
      <c r="AD38" s="53" t="str">
        <f t="shared" si="19"/>
        <v>0.984</v>
      </c>
      <c r="AE38" s="53" t="str">
        <f t="shared" si="20"/>
        <v>&lt;0.001*</v>
      </c>
      <c r="AF38" s="53" t="str">
        <f t="shared" si="21"/>
        <v>1.000</v>
      </c>
      <c r="AG38" s="53" t="str">
        <f t="shared" si="22"/>
        <v>-</v>
      </c>
      <c r="AH38" s="53" t="str">
        <f t="shared" si="23"/>
        <v>-</v>
      </c>
      <c r="AI38" s="53" t="str">
        <f t="shared" si="24"/>
        <v>-</v>
      </c>
      <c r="AJ38" s="53" t="str">
        <f t="shared" si="25"/>
        <v>-</v>
      </c>
    </row>
    <row r="39" spans="5:36" x14ac:dyDescent="0.25">
      <c r="E39" s="70"/>
      <c r="F39" s="70"/>
      <c r="G39" s="58" t="s">
        <v>8</v>
      </c>
      <c r="H39" s="53">
        <v>0.71299999999999997</v>
      </c>
      <c r="I39" s="53">
        <v>0.79139999999999999</v>
      </c>
      <c r="J39" s="53">
        <v>0.99980000000000002</v>
      </c>
      <c r="K39" s="53">
        <v>0.68700000000000006</v>
      </c>
      <c r="L39" s="53">
        <v>1</v>
      </c>
      <c r="M39" s="53">
        <v>0.11260000000000001</v>
      </c>
      <c r="N39" s="53">
        <v>0.77129999999999999</v>
      </c>
      <c r="O39" s="53">
        <v>0.74750000000000005</v>
      </c>
      <c r="P39" s="53" t="s">
        <v>190</v>
      </c>
      <c r="Q39" s="53" t="s">
        <v>190</v>
      </c>
      <c r="R39" s="53" t="s">
        <v>190</v>
      </c>
      <c r="W39" s="70"/>
      <c r="X39" s="70"/>
      <c r="Y39" s="58" t="s">
        <v>8</v>
      </c>
      <c r="Z39" s="53" t="str">
        <f t="shared" si="26"/>
        <v>0.713</v>
      </c>
      <c r="AA39" s="53" t="str">
        <f t="shared" si="16"/>
        <v>0.791</v>
      </c>
      <c r="AB39" s="53" t="str">
        <f t="shared" si="17"/>
        <v>1.000</v>
      </c>
      <c r="AC39" s="53" t="str">
        <f t="shared" si="18"/>
        <v>0.687</v>
      </c>
      <c r="AD39" s="53" t="str">
        <f t="shared" si="19"/>
        <v>1.000</v>
      </c>
      <c r="AE39" s="53" t="str">
        <f t="shared" si="20"/>
        <v>0.113</v>
      </c>
      <c r="AF39" s="53" t="str">
        <f t="shared" si="21"/>
        <v>0.771</v>
      </c>
      <c r="AG39" s="53" t="str">
        <f t="shared" si="22"/>
        <v>0.748</v>
      </c>
      <c r="AH39" s="53" t="str">
        <f t="shared" si="23"/>
        <v>-</v>
      </c>
      <c r="AI39" s="53" t="str">
        <f t="shared" si="24"/>
        <v>-</v>
      </c>
      <c r="AJ39" s="53" t="str">
        <f t="shared" si="25"/>
        <v>-</v>
      </c>
    </row>
    <row r="40" spans="5:36" x14ac:dyDescent="0.25">
      <c r="E40" s="70"/>
      <c r="F40" s="70"/>
      <c r="G40" s="58" t="s">
        <v>9</v>
      </c>
      <c r="H40" s="53">
        <v>0.99880000000000002</v>
      </c>
      <c r="I40" s="53">
        <v>0.99970000000000003</v>
      </c>
      <c r="J40" s="53">
        <v>0.8236</v>
      </c>
      <c r="K40" s="53">
        <v>9.5200000000000007E-2</v>
      </c>
      <c r="L40" s="53">
        <v>1</v>
      </c>
      <c r="M40" s="53">
        <v>3.3E-3</v>
      </c>
      <c r="N40" s="53">
        <v>0.99950000000000006</v>
      </c>
      <c r="O40" s="53">
        <v>0.99929999999999997</v>
      </c>
      <c r="P40" s="53">
        <v>0.99680000000000002</v>
      </c>
      <c r="Q40" s="53" t="s">
        <v>190</v>
      </c>
      <c r="R40" s="53" t="s">
        <v>190</v>
      </c>
      <c r="W40" s="70"/>
      <c r="X40" s="70"/>
      <c r="Y40" s="58" t="s">
        <v>9</v>
      </c>
      <c r="Z40" s="53" t="str">
        <f t="shared" si="26"/>
        <v>0.999</v>
      </c>
      <c r="AA40" s="53" t="str">
        <f t="shared" si="16"/>
        <v>1.000</v>
      </c>
      <c r="AB40" s="53" t="str">
        <f t="shared" si="17"/>
        <v>0.824</v>
      </c>
      <c r="AC40" s="53" t="str">
        <f t="shared" si="18"/>
        <v>0.095</v>
      </c>
      <c r="AD40" s="53" t="str">
        <f t="shared" si="19"/>
        <v>1.000</v>
      </c>
      <c r="AE40" s="53" t="str">
        <f t="shared" si="20"/>
        <v>0.003*</v>
      </c>
      <c r="AF40" s="53" t="str">
        <f t="shared" si="21"/>
        <v>1.000</v>
      </c>
      <c r="AG40" s="53" t="str">
        <f t="shared" si="22"/>
        <v>0.999</v>
      </c>
      <c r="AH40" s="53" t="str">
        <f t="shared" si="23"/>
        <v>0.997</v>
      </c>
      <c r="AI40" s="53" t="str">
        <f t="shared" si="24"/>
        <v>-</v>
      </c>
      <c r="AJ40" s="53" t="str">
        <f t="shared" si="25"/>
        <v>-</v>
      </c>
    </row>
    <row r="41" spans="5:36" x14ac:dyDescent="0.25">
      <c r="E41" s="70"/>
      <c r="F41" s="70"/>
      <c r="G41" s="58" t="s">
        <v>10</v>
      </c>
      <c r="H41" s="53">
        <v>1</v>
      </c>
      <c r="I41" s="53">
        <v>1</v>
      </c>
      <c r="J41" s="53">
        <v>0.1406</v>
      </c>
      <c r="K41" s="53">
        <v>1.9E-3</v>
      </c>
      <c r="L41" s="53">
        <v>0.94350000000000001</v>
      </c>
      <c r="M41" s="53">
        <v>1.8E-5</v>
      </c>
      <c r="N41" s="53">
        <v>1</v>
      </c>
      <c r="O41" s="53">
        <v>1</v>
      </c>
      <c r="P41" s="53">
        <v>0.58799999999999997</v>
      </c>
      <c r="Q41" s="53">
        <v>0.99429999999999996</v>
      </c>
      <c r="R41" s="53" t="s">
        <v>190</v>
      </c>
      <c r="W41" s="70"/>
      <c r="X41" s="70"/>
      <c r="Y41" s="58" t="s">
        <v>10</v>
      </c>
      <c r="Z41" s="53" t="str">
        <f t="shared" si="26"/>
        <v>1.000</v>
      </c>
      <c r="AA41" s="53" t="str">
        <f t="shared" si="16"/>
        <v>1.000</v>
      </c>
      <c r="AB41" s="53" t="str">
        <f t="shared" si="17"/>
        <v>0.141</v>
      </c>
      <c r="AC41" s="53" t="str">
        <f t="shared" si="18"/>
        <v>0.002*</v>
      </c>
      <c r="AD41" s="53" t="str">
        <f t="shared" si="19"/>
        <v>0.944</v>
      </c>
      <c r="AE41" s="53" t="str">
        <f t="shared" si="20"/>
        <v>&lt;0.001*</v>
      </c>
      <c r="AF41" s="53" t="str">
        <f t="shared" si="21"/>
        <v>1.000</v>
      </c>
      <c r="AG41" s="53" t="str">
        <f t="shared" si="22"/>
        <v>1.000</v>
      </c>
      <c r="AH41" s="53" t="str">
        <f t="shared" si="23"/>
        <v>0.588</v>
      </c>
      <c r="AI41" s="53" t="str">
        <f t="shared" si="24"/>
        <v>0.994</v>
      </c>
      <c r="AJ41" s="53" t="str">
        <f t="shared" si="25"/>
        <v>-</v>
      </c>
    </row>
    <row r="42" spans="5:36" x14ac:dyDescent="0.25">
      <c r="E42" s="71"/>
      <c r="F42" s="71"/>
      <c r="G42" s="59" t="s">
        <v>11</v>
      </c>
      <c r="H42" s="77">
        <v>8.8999999999999999E-14</v>
      </c>
      <c r="I42" s="77">
        <v>9.7000000000000003E-14</v>
      </c>
      <c r="J42" s="77">
        <v>6.8E-8</v>
      </c>
      <c r="K42" s="77">
        <v>8.0000000000000007E-5</v>
      </c>
      <c r="L42" s="77">
        <v>3.8E-12</v>
      </c>
      <c r="M42" s="77">
        <v>6.1000000000000004E-3</v>
      </c>
      <c r="N42" s="77">
        <v>9.4999999999999999E-14</v>
      </c>
      <c r="O42" s="77">
        <v>9.4000000000000003E-14</v>
      </c>
      <c r="P42" s="77">
        <v>4.6000000000000001E-10</v>
      </c>
      <c r="Q42" s="77">
        <v>3.5999999999999998E-13</v>
      </c>
      <c r="R42" s="77">
        <v>7.9000000000000004E-14</v>
      </c>
      <c r="W42" s="71"/>
      <c r="X42" s="71"/>
      <c r="Y42" s="59" t="s">
        <v>11</v>
      </c>
      <c r="Z42" s="77" t="str">
        <f t="shared" si="26"/>
        <v>&lt;0.001*</v>
      </c>
      <c r="AA42" s="77" t="str">
        <f t="shared" si="16"/>
        <v>&lt;0.001*</v>
      </c>
      <c r="AB42" s="77" t="str">
        <f t="shared" si="17"/>
        <v>&lt;0.001*</v>
      </c>
      <c r="AC42" s="77" t="str">
        <f t="shared" si="18"/>
        <v>&lt;0.001*</v>
      </c>
      <c r="AD42" s="77" t="str">
        <f t="shared" si="19"/>
        <v>&lt;0.001*</v>
      </c>
      <c r="AE42" s="77" t="str">
        <f t="shared" si="20"/>
        <v>0.006*</v>
      </c>
      <c r="AF42" s="77" t="str">
        <f t="shared" si="21"/>
        <v>&lt;0.001*</v>
      </c>
      <c r="AG42" s="77" t="str">
        <f t="shared" si="22"/>
        <v>&lt;0.001*</v>
      </c>
      <c r="AH42" s="77" t="str">
        <f t="shared" si="23"/>
        <v>&lt;0.001*</v>
      </c>
      <c r="AI42" s="77" t="str">
        <f t="shared" si="24"/>
        <v>&lt;0.001*</v>
      </c>
      <c r="AJ42" s="77" t="str">
        <f t="shared" si="25"/>
        <v>&lt;0.001*</v>
      </c>
    </row>
    <row r="43" spans="5:36" x14ac:dyDescent="0.25">
      <c r="E43" s="69" t="s">
        <v>182</v>
      </c>
      <c r="F43" s="69" t="s">
        <v>185</v>
      </c>
      <c r="G43" s="57" t="s">
        <v>1</v>
      </c>
      <c r="H43" s="55" t="s">
        <v>187</v>
      </c>
      <c r="I43" s="55" t="s">
        <v>190</v>
      </c>
      <c r="J43" s="55" t="s">
        <v>190</v>
      </c>
      <c r="K43" s="55" t="s">
        <v>190</v>
      </c>
      <c r="L43" s="55" t="s">
        <v>190</v>
      </c>
      <c r="M43" s="55" t="s">
        <v>190</v>
      </c>
      <c r="N43" s="55" t="s">
        <v>190</v>
      </c>
      <c r="O43" s="55" t="s">
        <v>190</v>
      </c>
      <c r="P43" s="55" t="s">
        <v>190</v>
      </c>
      <c r="Q43" s="55" t="s">
        <v>190</v>
      </c>
      <c r="R43" s="55" t="s">
        <v>190</v>
      </c>
      <c r="W43" s="69" t="s">
        <v>182</v>
      </c>
      <c r="X43" s="69" t="s">
        <v>185</v>
      </c>
      <c r="Y43" s="57" t="s">
        <v>1</v>
      </c>
      <c r="Z43" s="55" t="str">
        <f t="shared" si="26"/>
        <v>&lt;0.001*</v>
      </c>
      <c r="AA43" s="55" t="str">
        <f t="shared" si="16"/>
        <v>-</v>
      </c>
      <c r="AB43" s="55" t="str">
        <f t="shared" si="17"/>
        <v>-</v>
      </c>
      <c r="AC43" s="55" t="str">
        <f t="shared" si="18"/>
        <v>-</v>
      </c>
      <c r="AD43" s="55" t="str">
        <f t="shared" si="19"/>
        <v>-</v>
      </c>
      <c r="AE43" s="55" t="str">
        <f t="shared" si="20"/>
        <v>-</v>
      </c>
      <c r="AF43" s="55" t="str">
        <f t="shared" si="21"/>
        <v>-</v>
      </c>
      <c r="AG43" s="55" t="str">
        <f t="shared" si="22"/>
        <v>-</v>
      </c>
      <c r="AH43" s="55" t="str">
        <f t="shared" si="23"/>
        <v>-</v>
      </c>
      <c r="AI43" s="55" t="str">
        <f t="shared" si="24"/>
        <v>-</v>
      </c>
      <c r="AJ43" s="55" t="str">
        <f t="shared" si="25"/>
        <v>-</v>
      </c>
    </row>
    <row r="44" spans="5:36" x14ac:dyDescent="0.25">
      <c r="E44" s="70"/>
      <c r="F44" s="70"/>
      <c r="G44" s="58" t="s">
        <v>2</v>
      </c>
      <c r="H44" s="53" t="s">
        <v>187</v>
      </c>
      <c r="I44" s="53">
        <v>0.15959999999999999</v>
      </c>
      <c r="J44" s="53" t="s">
        <v>190</v>
      </c>
      <c r="K44" s="53" t="s">
        <v>190</v>
      </c>
      <c r="L44" s="53" t="s">
        <v>190</v>
      </c>
      <c r="M44" s="53" t="s">
        <v>190</v>
      </c>
      <c r="N44" s="53" t="s">
        <v>190</v>
      </c>
      <c r="O44" s="53" t="s">
        <v>190</v>
      </c>
      <c r="P44" s="53" t="s">
        <v>190</v>
      </c>
      <c r="Q44" s="53" t="s">
        <v>190</v>
      </c>
      <c r="R44" s="53" t="s">
        <v>190</v>
      </c>
      <c r="W44" s="70"/>
      <c r="X44" s="70"/>
      <c r="Y44" s="58" t="s">
        <v>2</v>
      </c>
      <c r="Z44" s="53" t="str">
        <f t="shared" si="26"/>
        <v>&lt;0.001*</v>
      </c>
      <c r="AA44" s="53" t="str">
        <f t="shared" si="16"/>
        <v>0.160</v>
      </c>
      <c r="AB44" s="53" t="str">
        <f t="shared" si="17"/>
        <v>-</v>
      </c>
      <c r="AC44" s="53" t="str">
        <f t="shared" si="18"/>
        <v>-</v>
      </c>
      <c r="AD44" s="53" t="str">
        <f t="shared" si="19"/>
        <v>-</v>
      </c>
      <c r="AE44" s="53" t="str">
        <f t="shared" si="20"/>
        <v>-</v>
      </c>
      <c r="AF44" s="53" t="str">
        <f t="shared" si="21"/>
        <v>-</v>
      </c>
      <c r="AG44" s="53" t="str">
        <f t="shared" si="22"/>
        <v>-</v>
      </c>
      <c r="AH44" s="53" t="str">
        <f t="shared" si="23"/>
        <v>-</v>
      </c>
      <c r="AI44" s="53" t="str">
        <f t="shared" si="24"/>
        <v>-</v>
      </c>
      <c r="AJ44" s="53" t="str">
        <f t="shared" si="25"/>
        <v>-</v>
      </c>
    </row>
    <row r="45" spans="5:36" x14ac:dyDescent="0.25">
      <c r="E45" s="70"/>
      <c r="F45" s="70"/>
      <c r="G45" s="58" t="s">
        <v>3</v>
      </c>
      <c r="H45" s="53" t="s">
        <v>187</v>
      </c>
      <c r="I45" s="53">
        <v>0.29210000000000003</v>
      </c>
      <c r="J45" s="53">
        <v>1</v>
      </c>
      <c r="K45" s="53" t="s">
        <v>190</v>
      </c>
      <c r="L45" s="53" t="s">
        <v>190</v>
      </c>
      <c r="M45" s="53" t="s">
        <v>190</v>
      </c>
      <c r="N45" s="53" t="s">
        <v>190</v>
      </c>
      <c r="O45" s="53" t="s">
        <v>190</v>
      </c>
      <c r="P45" s="53" t="s">
        <v>190</v>
      </c>
      <c r="Q45" s="53" t="s">
        <v>190</v>
      </c>
      <c r="R45" s="53" t="s">
        <v>190</v>
      </c>
      <c r="W45" s="70"/>
      <c r="X45" s="70"/>
      <c r="Y45" s="58" t="s">
        <v>3</v>
      </c>
      <c r="Z45" s="53" t="str">
        <f t="shared" si="26"/>
        <v>&lt;0.001*</v>
      </c>
      <c r="AA45" s="53" t="str">
        <f t="shared" si="16"/>
        <v>0.292</v>
      </c>
      <c r="AB45" s="53" t="str">
        <f t="shared" si="17"/>
        <v>1.000</v>
      </c>
      <c r="AC45" s="53" t="str">
        <f t="shared" si="18"/>
        <v>-</v>
      </c>
      <c r="AD45" s="53" t="str">
        <f t="shared" si="19"/>
        <v>-</v>
      </c>
      <c r="AE45" s="53" t="str">
        <f t="shared" si="20"/>
        <v>-</v>
      </c>
      <c r="AF45" s="53" t="str">
        <f t="shared" si="21"/>
        <v>-</v>
      </c>
      <c r="AG45" s="53" t="str">
        <f t="shared" si="22"/>
        <v>-</v>
      </c>
      <c r="AH45" s="53" t="str">
        <f t="shared" si="23"/>
        <v>-</v>
      </c>
      <c r="AI45" s="53" t="str">
        <f t="shared" si="24"/>
        <v>-</v>
      </c>
      <c r="AJ45" s="53" t="str">
        <f t="shared" si="25"/>
        <v>-</v>
      </c>
    </row>
    <row r="46" spans="5:36" x14ac:dyDescent="0.25">
      <c r="E46" s="70"/>
      <c r="F46" s="70"/>
      <c r="G46" s="58" t="s">
        <v>4</v>
      </c>
      <c r="H46" s="53" t="s">
        <v>187</v>
      </c>
      <c r="I46" s="53">
        <v>0.64790000000000003</v>
      </c>
      <c r="J46" s="53">
        <v>1</v>
      </c>
      <c r="K46" s="53">
        <v>1</v>
      </c>
      <c r="L46" s="53" t="s">
        <v>190</v>
      </c>
      <c r="M46" s="53" t="s">
        <v>190</v>
      </c>
      <c r="N46" s="53" t="s">
        <v>190</v>
      </c>
      <c r="O46" s="53" t="s">
        <v>190</v>
      </c>
      <c r="P46" s="53" t="s">
        <v>190</v>
      </c>
      <c r="Q46" s="53" t="s">
        <v>190</v>
      </c>
      <c r="R46" s="53" t="s">
        <v>190</v>
      </c>
      <c r="W46" s="70"/>
      <c r="X46" s="70"/>
      <c r="Y46" s="58" t="s">
        <v>4</v>
      </c>
      <c r="Z46" s="53" t="str">
        <f t="shared" si="26"/>
        <v>&lt;0.001*</v>
      </c>
      <c r="AA46" s="53" t="str">
        <f t="shared" si="16"/>
        <v>0.648</v>
      </c>
      <c r="AB46" s="53" t="str">
        <f t="shared" si="17"/>
        <v>1.000</v>
      </c>
      <c r="AC46" s="53" t="str">
        <f t="shared" si="18"/>
        <v>1.000</v>
      </c>
      <c r="AD46" s="53" t="str">
        <f t="shared" si="19"/>
        <v>-</v>
      </c>
      <c r="AE46" s="53" t="str">
        <f t="shared" si="20"/>
        <v>-</v>
      </c>
      <c r="AF46" s="53" t="str">
        <f t="shared" si="21"/>
        <v>-</v>
      </c>
      <c r="AG46" s="53" t="str">
        <f t="shared" si="22"/>
        <v>-</v>
      </c>
      <c r="AH46" s="53" t="str">
        <f t="shared" si="23"/>
        <v>-</v>
      </c>
      <c r="AI46" s="53" t="str">
        <f t="shared" si="24"/>
        <v>-</v>
      </c>
      <c r="AJ46" s="53" t="str">
        <f t="shared" si="25"/>
        <v>-</v>
      </c>
    </row>
    <row r="47" spans="5:36" x14ac:dyDescent="0.25">
      <c r="E47" s="70"/>
      <c r="F47" s="70"/>
      <c r="G47" s="58" t="s">
        <v>5</v>
      </c>
      <c r="H47" s="53" t="s">
        <v>187</v>
      </c>
      <c r="I47" s="53">
        <v>4.3000000000000001E-7</v>
      </c>
      <c r="J47" s="53">
        <v>6.2199999999999998E-2</v>
      </c>
      <c r="K47" s="53">
        <v>3.0300000000000001E-2</v>
      </c>
      <c r="L47" s="53">
        <v>9.4999999999999998E-3</v>
      </c>
      <c r="M47" s="53" t="s">
        <v>190</v>
      </c>
      <c r="N47" s="53" t="s">
        <v>190</v>
      </c>
      <c r="O47" s="53" t="s">
        <v>190</v>
      </c>
      <c r="P47" s="53" t="s">
        <v>190</v>
      </c>
      <c r="Q47" s="53" t="s">
        <v>190</v>
      </c>
      <c r="R47" s="53" t="s">
        <v>190</v>
      </c>
      <c r="W47" s="70"/>
      <c r="X47" s="70"/>
      <c r="Y47" s="58" t="s">
        <v>5</v>
      </c>
      <c r="Z47" s="53" t="str">
        <f t="shared" si="26"/>
        <v>&lt;0.001*</v>
      </c>
      <c r="AA47" s="53" t="str">
        <f t="shared" si="16"/>
        <v>&lt;0.001*</v>
      </c>
      <c r="AB47" s="53" t="str">
        <f t="shared" si="17"/>
        <v>0.062</v>
      </c>
      <c r="AC47" s="53" t="str">
        <f t="shared" si="18"/>
        <v>0.030*</v>
      </c>
      <c r="AD47" s="53" t="str">
        <f t="shared" si="19"/>
        <v>0.010*</v>
      </c>
      <c r="AE47" s="53" t="str">
        <f t="shared" si="20"/>
        <v>-</v>
      </c>
      <c r="AF47" s="53" t="str">
        <f t="shared" si="21"/>
        <v>-</v>
      </c>
      <c r="AG47" s="53" t="str">
        <f t="shared" si="22"/>
        <v>-</v>
      </c>
      <c r="AH47" s="53" t="str">
        <f t="shared" si="23"/>
        <v>-</v>
      </c>
      <c r="AI47" s="53" t="str">
        <f t="shared" si="24"/>
        <v>-</v>
      </c>
      <c r="AJ47" s="53" t="str">
        <f t="shared" si="25"/>
        <v>-</v>
      </c>
    </row>
    <row r="48" spans="5:36" x14ac:dyDescent="0.25">
      <c r="E48" s="70"/>
      <c r="F48" s="70"/>
      <c r="G48" s="58" t="s">
        <v>6</v>
      </c>
      <c r="H48" s="53" t="s">
        <v>187</v>
      </c>
      <c r="I48" s="53">
        <v>0.63890000000000002</v>
      </c>
      <c r="J48" s="53">
        <v>1</v>
      </c>
      <c r="K48" s="53">
        <v>1</v>
      </c>
      <c r="L48" s="53">
        <v>1</v>
      </c>
      <c r="M48" s="53">
        <v>1.01E-2</v>
      </c>
      <c r="N48" s="53" t="s">
        <v>190</v>
      </c>
      <c r="O48" s="53" t="s">
        <v>190</v>
      </c>
      <c r="P48" s="53" t="s">
        <v>190</v>
      </c>
      <c r="Q48" s="53" t="s">
        <v>190</v>
      </c>
      <c r="R48" s="53" t="s">
        <v>190</v>
      </c>
      <c r="W48" s="70"/>
      <c r="X48" s="70"/>
      <c r="Y48" s="58" t="s">
        <v>6</v>
      </c>
      <c r="Z48" s="53" t="str">
        <f t="shared" si="26"/>
        <v>&lt;0.001*</v>
      </c>
      <c r="AA48" s="53" t="str">
        <f t="shared" si="16"/>
        <v>0.639</v>
      </c>
      <c r="AB48" s="53" t="str">
        <f t="shared" si="17"/>
        <v>1.000</v>
      </c>
      <c r="AC48" s="53" t="str">
        <f t="shared" si="18"/>
        <v>1.000</v>
      </c>
      <c r="AD48" s="53" t="str">
        <f t="shared" si="19"/>
        <v>1.000</v>
      </c>
      <c r="AE48" s="53" t="str">
        <f t="shared" si="20"/>
        <v>0.010*</v>
      </c>
      <c r="AF48" s="53" t="str">
        <f t="shared" si="21"/>
        <v>-</v>
      </c>
      <c r="AG48" s="53" t="str">
        <f t="shared" si="22"/>
        <v>-</v>
      </c>
      <c r="AH48" s="53" t="str">
        <f t="shared" si="23"/>
        <v>-</v>
      </c>
      <c r="AI48" s="53" t="str">
        <f t="shared" si="24"/>
        <v>-</v>
      </c>
      <c r="AJ48" s="53" t="str">
        <f t="shared" si="25"/>
        <v>-</v>
      </c>
    </row>
    <row r="49" spans="5:36" x14ac:dyDescent="0.25">
      <c r="E49" s="70"/>
      <c r="F49" s="70"/>
      <c r="G49" s="58" t="s">
        <v>7</v>
      </c>
      <c r="H49" s="53">
        <v>1.1E-5</v>
      </c>
      <c r="I49" s="53">
        <v>3.1000000000000003E-11</v>
      </c>
      <c r="J49" s="53" t="s">
        <v>187</v>
      </c>
      <c r="K49" s="53" t="s">
        <v>187</v>
      </c>
      <c r="L49" s="53" t="s">
        <v>187</v>
      </c>
      <c r="M49" s="53" t="s">
        <v>187</v>
      </c>
      <c r="N49" s="53" t="s">
        <v>187</v>
      </c>
      <c r="O49" s="53" t="s">
        <v>190</v>
      </c>
      <c r="P49" s="53" t="s">
        <v>190</v>
      </c>
      <c r="Q49" s="53" t="s">
        <v>190</v>
      </c>
      <c r="R49" s="53" t="s">
        <v>190</v>
      </c>
      <c r="W49" s="70"/>
      <c r="X49" s="70"/>
      <c r="Y49" s="58" t="s">
        <v>7</v>
      </c>
      <c r="Z49" s="53" t="str">
        <f t="shared" si="26"/>
        <v>&lt;0.001*</v>
      </c>
      <c r="AA49" s="53" t="str">
        <f t="shared" si="16"/>
        <v>&lt;0.001*</v>
      </c>
      <c r="AB49" s="53" t="str">
        <f t="shared" si="17"/>
        <v>&lt;0.001*</v>
      </c>
      <c r="AC49" s="53" t="str">
        <f t="shared" si="18"/>
        <v>&lt;0.001*</v>
      </c>
      <c r="AD49" s="53" t="str">
        <f t="shared" si="19"/>
        <v>&lt;0.001*</v>
      </c>
      <c r="AE49" s="53" t="str">
        <f t="shared" si="20"/>
        <v>&lt;0.001*</v>
      </c>
      <c r="AF49" s="53" t="str">
        <f t="shared" si="21"/>
        <v>&lt;0.001*</v>
      </c>
      <c r="AG49" s="53" t="str">
        <f t="shared" si="22"/>
        <v>-</v>
      </c>
      <c r="AH49" s="53" t="str">
        <f t="shared" si="23"/>
        <v>-</v>
      </c>
      <c r="AI49" s="53" t="str">
        <f t="shared" si="24"/>
        <v>-</v>
      </c>
      <c r="AJ49" s="53" t="str">
        <f t="shared" si="25"/>
        <v>-</v>
      </c>
    </row>
    <row r="50" spans="5:36" x14ac:dyDescent="0.25">
      <c r="E50" s="70"/>
      <c r="F50" s="70"/>
      <c r="G50" s="58" t="s">
        <v>8</v>
      </c>
      <c r="H50" s="53" t="s">
        <v>187</v>
      </c>
      <c r="I50" s="53">
        <v>1</v>
      </c>
      <c r="J50" s="53">
        <v>0.87470000000000003</v>
      </c>
      <c r="K50" s="53">
        <v>1</v>
      </c>
      <c r="L50" s="53">
        <v>1</v>
      </c>
      <c r="M50" s="53">
        <v>2.0000000000000002E-5</v>
      </c>
      <c r="N50" s="53">
        <v>1</v>
      </c>
      <c r="O50" s="53">
        <v>1.4000000000000001E-13</v>
      </c>
      <c r="P50" s="53" t="s">
        <v>190</v>
      </c>
      <c r="Q50" s="53" t="s">
        <v>190</v>
      </c>
      <c r="R50" s="53" t="s">
        <v>190</v>
      </c>
      <c r="W50" s="70"/>
      <c r="X50" s="70"/>
      <c r="Y50" s="58" t="s">
        <v>8</v>
      </c>
      <c r="Z50" s="53" t="str">
        <f t="shared" si="26"/>
        <v>&lt;0.001*</v>
      </c>
      <c r="AA50" s="53" t="str">
        <f t="shared" si="16"/>
        <v>1.000</v>
      </c>
      <c r="AB50" s="53" t="str">
        <f t="shared" si="17"/>
        <v>0.875</v>
      </c>
      <c r="AC50" s="53" t="str">
        <f t="shared" si="18"/>
        <v>1.000</v>
      </c>
      <c r="AD50" s="53" t="str">
        <f t="shared" si="19"/>
        <v>1.000</v>
      </c>
      <c r="AE50" s="53" t="str">
        <f t="shared" si="20"/>
        <v>&lt;0.001*</v>
      </c>
      <c r="AF50" s="53" t="str">
        <f t="shared" si="21"/>
        <v>1.000</v>
      </c>
      <c r="AG50" s="53" t="str">
        <f t="shared" si="22"/>
        <v>&lt;0.001*</v>
      </c>
      <c r="AH50" s="53" t="str">
        <f t="shared" si="23"/>
        <v>-</v>
      </c>
      <c r="AI50" s="53" t="str">
        <f t="shared" si="24"/>
        <v>-</v>
      </c>
      <c r="AJ50" s="53" t="str">
        <f t="shared" si="25"/>
        <v>-</v>
      </c>
    </row>
    <row r="51" spans="5:36" x14ac:dyDescent="0.25">
      <c r="E51" s="70"/>
      <c r="F51" s="70"/>
      <c r="G51" s="58" t="s">
        <v>9</v>
      </c>
      <c r="H51" s="53" t="s">
        <v>187</v>
      </c>
      <c r="I51" s="53">
        <v>1</v>
      </c>
      <c r="J51" s="53">
        <v>1</v>
      </c>
      <c r="K51" s="53">
        <v>1</v>
      </c>
      <c r="L51" s="53">
        <v>1</v>
      </c>
      <c r="M51" s="53">
        <v>8.6000000000000003E-5</v>
      </c>
      <c r="N51" s="53">
        <v>1</v>
      </c>
      <c r="O51" s="53">
        <v>1.3E-14</v>
      </c>
      <c r="P51" s="53">
        <v>1</v>
      </c>
      <c r="Q51" s="53" t="s">
        <v>190</v>
      </c>
      <c r="R51" s="53" t="s">
        <v>190</v>
      </c>
      <c r="W51" s="70"/>
      <c r="X51" s="70"/>
      <c r="Y51" s="58" t="s">
        <v>9</v>
      </c>
      <c r="Z51" s="53" t="str">
        <f t="shared" si="26"/>
        <v>&lt;0.001*</v>
      </c>
      <c r="AA51" s="53" t="str">
        <f t="shared" si="16"/>
        <v>1.000</v>
      </c>
      <c r="AB51" s="53" t="str">
        <f t="shared" si="17"/>
        <v>1.000</v>
      </c>
      <c r="AC51" s="53" t="str">
        <f t="shared" si="18"/>
        <v>1.000</v>
      </c>
      <c r="AD51" s="53" t="str">
        <f t="shared" si="19"/>
        <v>1.000</v>
      </c>
      <c r="AE51" s="53" t="str">
        <f t="shared" si="20"/>
        <v>&lt;0.001*</v>
      </c>
      <c r="AF51" s="53" t="str">
        <f t="shared" si="21"/>
        <v>1.000</v>
      </c>
      <c r="AG51" s="53" t="str">
        <f t="shared" si="22"/>
        <v>&lt;0.001*</v>
      </c>
      <c r="AH51" s="53" t="str">
        <f t="shared" si="23"/>
        <v>1.000</v>
      </c>
      <c r="AI51" s="53" t="str">
        <f t="shared" si="24"/>
        <v>-</v>
      </c>
      <c r="AJ51" s="53" t="str">
        <f t="shared" si="25"/>
        <v>-</v>
      </c>
    </row>
    <row r="52" spans="5:36" x14ac:dyDescent="0.25">
      <c r="E52" s="70"/>
      <c r="F52" s="70"/>
      <c r="G52" s="58" t="s">
        <v>10</v>
      </c>
      <c r="H52" s="53">
        <v>1E-8</v>
      </c>
      <c r="I52" s="53">
        <v>8.3999999999999998E-8</v>
      </c>
      <c r="J52" s="53">
        <v>3.2000000000000002E-16</v>
      </c>
      <c r="K52" s="53">
        <v>2.0000000000000002E-15</v>
      </c>
      <c r="L52" s="53">
        <v>3.1E-14</v>
      </c>
      <c r="M52" s="53" t="s">
        <v>187</v>
      </c>
      <c r="N52" s="53">
        <v>2.5000000000000001E-14</v>
      </c>
      <c r="O52" s="53">
        <v>1</v>
      </c>
      <c r="P52" s="53">
        <v>9.2000000000000003E-10</v>
      </c>
      <c r="Q52" s="53">
        <v>1.0999999999999999E-10</v>
      </c>
      <c r="R52" s="53" t="s">
        <v>190</v>
      </c>
      <c r="W52" s="70"/>
      <c r="X52" s="70"/>
      <c r="Y52" s="58" t="s">
        <v>10</v>
      </c>
      <c r="Z52" s="53" t="str">
        <f t="shared" si="26"/>
        <v>&lt;0.001*</v>
      </c>
      <c r="AA52" s="53" t="str">
        <f t="shared" si="16"/>
        <v>&lt;0.001*</v>
      </c>
      <c r="AB52" s="53" t="str">
        <f t="shared" si="17"/>
        <v>&lt;0.001*</v>
      </c>
      <c r="AC52" s="53" t="str">
        <f t="shared" si="18"/>
        <v>&lt;0.001*</v>
      </c>
      <c r="AD52" s="53" t="str">
        <f t="shared" si="19"/>
        <v>&lt;0.001*</v>
      </c>
      <c r="AE52" s="53" t="str">
        <f t="shared" si="20"/>
        <v>&lt;0.001*</v>
      </c>
      <c r="AF52" s="53" t="str">
        <f t="shared" si="21"/>
        <v>&lt;0.001*</v>
      </c>
      <c r="AG52" s="53" t="str">
        <f t="shared" si="22"/>
        <v>1.000</v>
      </c>
      <c r="AH52" s="53" t="str">
        <f t="shared" si="23"/>
        <v>&lt;0.001*</v>
      </c>
      <c r="AI52" s="53" t="str">
        <f t="shared" si="24"/>
        <v>&lt;0.001*</v>
      </c>
      <c r="AJ52" s="53" t="str">
        <f t="shared" si="25"/>
        <v>-</v>
      </c>
    </row>
    <row r="53" spans="5:36" x14ac:dyDescent="0.25">
      <c r="E53" s="70"/>
      <c r="F53" s="71"/>
      <c r="G53" s="59" t="s">
        <v>11</v>
      </c>
      <c r="H53" s="77" t="s">
        <v>187</v>
      </c>
      <c r="I53" s="77" t="s">
        <v>187</v>
      </c>
      <c r="J53" s="77">
        <v>7.9000000000000004E-14</v>
      </c>
      <c r="K53" s="77">
        <v>1.4E-14</v>
      </c>
      <c r="L53" s="77">
        <v>8.7000000000000004E-16</v>
      </c>
      <c r="M53" s="77">
        <v>2.0000000000000002E-5</v>
      </c>
      <c r="N53" s="77">
        <v>1.0999999999999999E-15</v>
      </c>
      <c r="O53" s="77" t="s">
        <v>187</v>
      </c>
      <c r="P53" s="77" t="s">
        <v>187</v>
      </c>
      <c r="Q53" s="77" t="s">
        <v>187</v>
      </c>
      <c r="R53" s="77" t="s">
        <v>187</v>
      </c>
      <c r="W53" s="70"/>
      <c r="X53" s="71"/>
      <c r="Y53" s="59" t="s">
        <v>11</v>
      </c>
      <c r="Z53" s="77" t="str">
        <f t="shared" si="26"/>
        <v>&lt;0.001*</v>
      </c>
      <c r="AA53" s="77" t="str">
        <f t="shared" si="16"/>
        <v>&lt;0.001*</v>
      </c>
      <c r="AB53" s="77" t="str">
        <f t="shared" si="17"/>
        <v>&lt;0.001*</v>
      </c>
      <c r="AC53" s="77" t="str">
        <f t="shared" si="18"/>
        <v>&lt;0.001*</v>
      </c>
      <c r="AD53" s="77" t="str">
        <f t="shared" si="19"/>
        <v>&lt;0.001*</v>
      </c>
      <c r="AE53" s="77" t="str">
        <f t="shared" si="20"/>
        <v>&lt;0.001*</v>
      </c>
      <c r="AF53" s="77" t="str">
        <f t="shared" si="21"/>
        <v>&lt;0.001*</v>
      </c>
      <c r="AG53" s="77" t="str">
        <f t="shared" si="22"/>
        <v>&lt;0.001*</v>
      </c>
      <c r="AH53" s="77" t="str">
        <f t="shared" si="23"/>
        <v>&lt;0.001*</v>
      </c>
      <c r="AI53" s="77" t="str">
        <f t="shared" si="24"/>
        <v>&lt;0.001*</v>
      </c>
      <c r="AJ53" s="77" t="str">
        <f t="shared" si="25"/>
        <v>&lt;0.001*</v>
      </c>
    </row>
    <row r="54" spans="5:36" x14ac:dyDescent="0.25">
      <c r="E54" s="70"/>
      <c r="F54" s="70" t="s">
        <v>186</v>
      </c>
      <c r="G54" s="58" t="s">
        <v>1</v>
      </c>
      <c r="H54" s="53">
        <v>4E-14</v>
      </c>
      <c r="I54" s="53" t="s">
        <v>190</v>
      </c>
      <c r="J54" s="53" t="s">
        <v>190</v>
      </c>
      <c r="K54" s="53" t="s">
        <v>190</v>
      </c>
      <c r="L54" s="53" t="s">
        <v>190</v>
      </c>
      <c r="M54" s="53" t="s">
        <v>190</v>
      </c>
      <c r="N54" s="53" t="s">
        <v>190</v>
      </c>
      <c r="O54" s="53" t="s">
        <v>190</v>
      </c>
      <c r="P54" s="53" t="s">
        <v>190</v>
      </c>
      <c r="Q54" s="53" t="s">
        <v>190</v>
      </c>
      <c r="R54" s="53" t="s">
        <v>190</v>
      </c>
      <c r="W54" s="70"/>
      <c r="X54" s="69" t="s">
        <v>186</v>
      </c>
      <c r="Y54" s="57" t="s">
        <v>1</v>
      </c>
      <c r="Z54" s="55" t="str">
        <f t="shared" si="26"/>
        <v>&lt;0.001*</v>
      </c>
      <c r="AA54" s="55" t="str">
        <f t="shared" si="16"/>
        <v>-</v>
      </c>
      <c r="AB54" s="55" t="str">
        <f t="shared" si="17"/>
        <v>-</v>
      </c>
      <c r="AC54" s="55" t="str">
        <f t="shared" si="18"/>
        <v>-</v>
      </c>
      <c r="AD54" s="55" t="str">
        <f t="shared" si="19"/>
        <v>-</v>
      </c>
      <c r="AE54" s="55" t="str">
        <f t="shared" si="20"/>
        <v>-</v>
      </c>
      <c r="AF54" s="55" t="str">
        <f t="shared" si="21"/>
        <v>-</v>
      </c>
      <c r="AG54" s="55" t="str">
        <f t="shared" si="22"/>
        <v>-</v>
      </c>
      <c r="AH54" s="55" t="str">
        <f t="shared" si="23"/>
        <v>-</v>
      </c>
      <c r="AI54" s="55" t="str">
        <f t="shared" si="24"/>
        <v>-</v>
      </c>
      <c r="AJ54" s="55" t="str">
        <f t="shared" si="25"/>
        <v>-</v>
      </c>
    </row>
    <row r="55" spans="5:36" x14ac:dyDescent="0.25">
      <c r="E55" s="70"/>
      <c r="F55" s="70"/>
      <c r="G55" s="58" t="s">
        <v>2</v>
      </c>
      <c r="H55" s="53" t="s">
        <v>187</v>
      </c>
      <c r="I55" s="53">
        <v>0.37995000000000001</v>
      </c>
      <c r="J55" s="53" t="s">
        <v>190</v>
      </c>
      <c r="K55" s="53" t="s">
        <v>190</v>
      </c>
      <c r="L55" s="53" t="s">
        <v>190</v>
      </c>
      <c r="M55" s="53" t="s">
        <v>190</v>
      </c>
      <c r="N55" s="53" t="s">
        <v>190</v>
      </c>
      <c r="O55" s="53" t="s">
        <v>190</v>
      </c>
      <c r="P55" s="53" t="s">
        <v>190</v>
      </c>
      <c r="Q55" s="53" t="s">
        <v>190</v>
      </c>
      <c r="R55" s="53" t="s">
        <v>190</v>
      </c>
      <c r="W55" s="70"/>
      <c r="X55" s="70"/>
      <c r="Y55" s="58" t="s">
        <v>2</v>
      </c>
      <c r="Z55" s="53" t="str">
        <f t="shared" si="26"/>
        <v>&lt;0.001*</v>
      </c>
      <c r="AA55" s="53" t="str">
        <f t="shared" si="16"/>
        <v>0.380</v>
      </c>
      <c r="AB55" s="53" t="str">
        <f t="shared" si="17"/>
        <v>-</v>
      </c>
      <c r="AC55" s="53" t="str">
        <f t="shared" si="18"/>
        <v>-</v>
      </c>
      <c r="AD55" s="53" t="str">
        <f t="shared" si="19"/>
        <v>-</v>
      </c>
      <c r="AE55" s="53" t="str">
        <f t="shared" si="20"/>
        <v>-</v>
      </c>
      <c r="AF55" s="53" t="str">
        <f t="shared" si="21"/>
        <v>-</v>
      </c>
      <c r="AG55" s="53" t="str">
        <f t="shared" si="22"/>
        <v>-</v>
      </c>
      <c r="AH55" s="53" t="str">
        <f t="shared" si="23"/>
        <v>-</v>
      </c>
      <c r="AI55" s="53" t="str">
        <f t="shared" si="24"/>
        <v>-</v>
      </c>
      <c r="AJ55" s="53" t="str">
        <f t="shared" si="25"/>
        <v>-</v>
      </c>
    </row>
    <row r="56" spans="5:36" x14ac:dyDescent="0.25">
      <c r="E56" s="70"/>
      <c r="F56" s="70"/>
      <c r="G56" s="58" t="s">
        <v>3</v>
      </c>
      <c r="H56" s="53" t="s">
        <v>187</v>
      </c>
      <c r="I56" s="53">
        <v>0.52500000000000002</v>
      </c>
      <c r="J56" s="53">
        <v>1</v>
      </c>
      <c r="K56" s="53" t="s">
        <v>190</v>
      </c>
      <c r="L56" s="53" t="s">
        <v>190</v>
      </c>
      <c r="M56" s="53" t="s">
        <v>190</v>
      </c>
      <c r="N56" s="53" t="s">
        <v>190</v>
      </c>
      <c r="O56" s="53" t="s">
        <v>190</v>
      </c>
      <c r="P56" s="53" t="s">
        <v>190</v>
      </c>
      <c r="Q56" s="53" t="s">
        <v>190</v>
      </c>
      <c r="R56" s="53" t="s">
        <v>190</v>
      </c>
      <c r="W56" s="70"/>
      <c r="X56" s="70"/>
      <c r="Y56" s="58" t="s">
        <v>3</v>
      </c>
      <c r="Z56" s="53" t="str">
        <f t="shared" si="26"/>
        <v>&lt;0.001*</v>
      </c>
      <c r="AA56" s="53" t="str">
        <f t="shared" si="16"/>
        <v>0.525</v>
      </c>
      <c r="AB56" s="53" t="str">
        <f t="shared" si="17"/>
        <v>1.000</v>
      </c>
      <c r="AC56" s="53" t="str">
        <f t="shared" si="18"/>
        <v>-</v>
      </c>
      <c r="AD56" s="53" t="str">
        <f t="shared" si="19"/>
        <v>-</v>
      </c>
      <c r="AE56" s="53" t="str">
        <f t="shared" si="20"/>
        <v>-</v>
      </c>
      <c r="AF56" s="53" t="str">
        <f t="shared" si="21"/>
        <v>-</v>
      </c>
      <c r="AG56" s="53" t="str">
        <f t="shared" si="22"/>
        <v>-</v>
      </c>
      <c r="AH56" s="53" t="str">
        <f t="shared" si="23"/>
        <v>-</v>
      </c>
      <c r="AI56" s="53" t="str">
        <f t="shared" si="24"/>
        <v>-</v>
      </c>
      <c r="AJ56" s="53" t="str">
        <f t="shared" si="25"/>
        <v>-</v>
      </c>
    </row>
    <row r="57" spans="5:36" x14ac:dyDescent="0.25">
      <c r="E57" s="70"/>
      <c r="F57" s="70"/>
      <c r="G57" s="58" t="s">
        <v>4</v>
      </c>
      <c r="H57" s="53" t="s">
        <v>187</v>
      </c>
      <c r="I57" s="53">
        <v>0.74439999999999995</v>
      </c>
      <c r="J57" s="53">
        <v>1</v>
      </c>
      <c r="K57" s="53">
        <v>1</v>
      </c>
      <c r="L57" s="53" t="s">
        <v>190</v>
      </c>
      <c r="M57" s="53" t="s">
        <v>190</v>
      </c>
      <c r="N57" s="53" t="s">
        <v>190</v>
      </c>
      <c r="O57" s="53" t="s">
        <v>190</v>
      </c>
      <c r="P57" s="53" t="s">
        <v>190</v>
      </c>
      <c r="Q57" s="53" t="s">
        <v>190</v>
      </c>
      <c r="R57" s="53" t="s">
        <v>190</v>
      </c>
      <c r="W57" s="70"/>
      <c r="X57" s="70"/>
      <c r="Y57" s="58" t="s">
        <v>4</v>
      </c>
      <c r="Z57" s="53" t="str">
        <f t="shared" si="26"/>
        <v>&lt;0.001*</v>
      </c>
      <c r="AA57" s="53" t="str">
        <f t="shared" si="16"/>
        <v>0.744</v>
      </c>
      <c r="AB57" s="53" t="str">
        <f t="shared" si="17"/>
        <v>1.000</v>
      </c>
      <c r="AC57" s="53" t="str">
        <f t="shared" si="18"/>
        <v>1.000</v>
      </c>
      <c r="AD57" s="53" t="str">
        <f t="shared" si="19"/>
        <v>-</v>
      </c>
      <c r="AE57" s="53" t="str">
        <f t="shared" si="20"/>
        <v>-</v>
      </c>
      <c r="AF57" s="53" t="str">
        <f t="shared" si="21"/>
        <v>-</v>
      </c>
      <c r="AG57" s="53" t="str">
        <f t="shared" si="22"/>
        <v>-</v>
      </c>
      <c r="AH57" s="53" t="str">
        <f t="shared" si="23"/>
        <v>-</v>
      </c>
      <c r="AI57" s="53" t="str">
        <f t="shared" si="24"/>
        <v>-</v>
      </c>
      <c r="AJ57" s="53" t="str">
        <f t="shared" si="25"/>
        <v>-</v>
      </c>
    </row>
    <row r="58" spans="5:36" x14ac:dyDescent="0.25">
      <c r="E58" s="70"/>
      <c r="F58" s="70"/>
      <c r="G58" s="58" t="s">
        <v>5</v>
      </c>
      <c r="H58" s="53" t="s">
        <v>187</v>
      </c>
      <c r="I58" s="53">
        <v>1.5999999999999999E-5</v>
      </c>
      <c r="J58" s="53">
        <v>0.21425</v>
      </c>
      <c r="K58" s="53">
        <v>0.13074</v>
      </c>
      <c r="L58" s="53">
        <v>5.4769999999999999E-2</v>
      </c>
      <c r="M58" s="53" t="s">
        <v>190</v>
      </c>
      <c r="N58" s="53" t="s">
        <v>190</v>
      </c>
      <c r="O58" s="53" t="s">
        <v>190</v>
      </c>
      <c r="P58" s="53" t="s">
        <v>190</v>
      </c>
      <c r="Q58" s="53" t="s">
        <v>190</v>
      </c>
      <c r="R58" s="53" t="s">
        <v>190</v>
      </c>
      <c r="W58" s="70"/>
      <c r="X58" s="70"/>
      <c r="Y58" s="58" t="s">
        <v>5</v>
      </c>
      <c r="Z58" s="53" t="str">
        <f t="shared" si="26"/>
        <v>&lt;0.001*</v>
      </c>
      <c r="AA58" s="53" t="str">
        <f t="shared" si="16"/>
        <v>&lt;0.001*</v>
      </c>
      <c r="AB58" s="53" t="str">
        <f t="shared" si="17"/>
        <v>0.214</v>
      </c>
      <c r="AC58" s="53" t="str">
        <f t="shared" si="18"/>
        <v>0.131</v>
      </c>
      <c r="AD58" s="53" t="str">
        <f t="shared" si="19"/>
        <v>0.055</v>
      </c>
      <c r="AE58" s="53" t="str">
        <f t="shared" si="20"/>
        <v>-</v>
      </c>
      <c r="AF58" s="53" t="str">
        <f t="shared" si="21"/>
        <v>-</v>
      </c>
      <c r="AG58" s="53" t="str">
        <f t="shared" si="22"/>
        <v>-</v>
      </c>
      <c r="AH58" s="53" t="str">
        <f t="shared" si="23"/>
        <v>-</v>
      </c>
      <c r="AI58" s="53" t="str">
        <f t="shared" si="24"/>
        <v>-</v>
      </c>
      <c r="AJ58" s="53" t="str">
        <f t="shared" si="25"/>
        <v>-</v>
      </c>
    </row>
    <row r="59" spans="5:36" x14ac:dyDescent="0.25">
      <c r="E59" s="70"/>
      <c r="F59" s="70"/>
      <c r="G59" s="58" t="s">
        <v>6</v>
      </c>
      <c r="H59" s="53" t="s">
        <v>187</v>
      </c>
      <c r="I59" s="53">
        <v>0.72889000000000004</v>
      </c>
      <c r="J59" s="53">
        <v>1</v>
      </c>
      <c r="K59" s="53">
        <v>1</v>
      </c>
      <c r="L59" s="53">
        <v>1</v>
      </c>
      <c r="M59" s="53">
        <v>5.8860000000000003E-2</v>
      </c>
      <c r="N59" s="53" t="s">
        <v>190</v>
      </c>
      <c r="O59" s="53" t="s">
        <v>190</v>
      </c>
      <c r="P59" s="53" t="s">
        <v>190</v>
      </c>
      <c r="Q59" s="53" t="s">
        <v>190</v>
      </c>
      <c r="R59" s="53" t="s">
        <v>190</v>
      </c>
      <c r="W59" s="70"/>
      <c r="X59" s="70"/>
      <c r="Y59" s="58" t="s">
        <v>6</v>
      </c>
      <c r="Z59" s="53" t="str">
        <f t="shared" si="26"/>
        <v>&lt;0.001*</v>
      </c>
      <c r="AA59" s="53" t="str">
        <f t="shared" si="16"/>
        <v>0.729</v>
      </c>
      <c r="AB59" s="53" t="str">
        <f t="shared" si="17"/>
        <v>1.000</v>
      </c>
      <c r="AC59" s="53" t="str">
        <f t="shared" si="18"/>
        <v>1.000</v>
      </c>
      <c r="AD59" s="53" t="str">
        <f t="shared" si="19"/>
        <v>1.000</v>
      </c>
      <c r="AE59" s="53" t="str">
        <f t="shared" si="20"/>
        <v>0.059</v>
      </c>
      <c r="AF59" s="53" t="str">
        <f t="shared" si="21"/>
        <v>-</v>
      </c>
      <c r="AG59" s="53" t="str">
        <f t="shared" si="22"/>
        <v>-</v>
      </c>
      <c r="AH59" s="53" t="str">
        <f t="shared" si="23"/>
        <v>-</v>
      </c>
      <c r="AI59" s="53" t="str">
        <f t="shared" si="24"/>
        <v>-</v>
      </c>
      <c r="AJ59" s="53" t="str">
        <f t="shared" si="25"/>
        <v>-</v>
      </c>
    </row>
    <row r="60" spans="5:36" x14ac:dyDescent="0.25">
      <c r="E60" s="70"/>
      <c r="F60" s="70"/>
      <c r="G60" s="58" t="s">
        <v>7</v>
      </c>
      <c r="H60" s="53">
        <v>2.3000000000000001E-4</v>
      </c>
      <c r="I60" s="53">
        <v>5.0000000000000001E-9</v>
      </c>
      <c r="J60" s="53">
        <v>8.2000000000000004E-14</v>
      </c>
      <c r="K60" s="53">
        <v>9.5999999999999995E-14</v>
      </c>
      <c r="L60" s="53">
        <v>1.1999999999999999E-13</v>
      </c>
      <c r="M60" s="53" t="s">
        <v>187</v>
      </c>
      <c r="N60" s="53">
        <v>1.1999999999999999E-13</v>
      </c>
      <c r="O60" s="53" t="s">
        <v>190</v>
      </c>
      <c r="P60" s="53" t="s">
        <v>190</v>
      </c>
      <c r="Q60" s="53" t="s">
        <v>190</v>
      </c>
      <c r="R60" s="53" t="s">
        <v>190</v>
      </c>
      <c r="W60" s="70"/>
      <c r="X60" s="70"/>
      <c r="Y60" s="58" t="s">
        <v>7</v>
      </c>
      <c r="Z60" s="53" t="str">
        <f t="shared" si="26"/>
        <v>&lt;0.001*</v>
      </c>
      <c r="AA60" s="53" t="str">
        <f t="shared" si="16"/>
        <v>&lt;0.001*</v>
      </c>
      <c r="AB60" s="53" t="str">
        <f t="shared" si="17"/>
        <v>&lt;0.001*</v>
      </c>
      <c r="AC60" s="53" t="str">
        <f t="shared" si="18"/>
        <v>&lt;0.001*</v>
      </c>
      <c r="AD60" s="53" t="str">
        <f t="shared" si="19"/>
        <v>&lt;0.001*</v>
      </c>
      <c r="AE60" s="53" t="str">
        <f t="shared" si="20"/>
        <v>&lt;0.001*</v>
      </c>
      <c r="AF60" s="53" t="str">
        <f t="shared" si="21"/>
        <v>&lt;0.001*</v>
      </c>
      <c r="AG60" s="53" t="str">
        <f t="shared" si="22"/>
        <v>-</v>
      </c>
      <c r="AH60" s="53" t="str">
        <f t="shared" si="23"/>
        <v>-</v>
      </c>
      <c r="AI60" s="53" t="str">
        <f t="shared" si="24"/>
        <v>-</v>
      </c>
      <c r="AJ60" s="53" t="str">
        <f t="shared" si="25"/>
        <v>-</v>
      </c>
    </row>
    <row r="61" spans="5:36" x14ac:dyDescent="0.25">
      <c r="E61" s="70"/>
      <c r="F61" s="70"/>
      <c r="G61" s="58" t="s">
        <v>8</v>
      </c>
      <c r="H61" s="53" t="s">
        <v>187</v>
      </c>
      <c r="I61" s="53">
        <v>0.99997000000000003</v>
      </c>
      <c r="J61" s="53">
        <v>0.8236</v>
      </c>
      <c r="K61" s="53">
        <v>0.91461000000000003</v>
      </c>
      <c r="L61" s="53">
        <v>0.98209999999999997</v>
      </c>
      <c r="M61" s="53">
        <v>3.8999999999999999E-4</v>
      </c>
      <c r="N61" s="53">
        <v>0.97931999999999997</v>
      </c>
      <c r="O61" s="53">
        <v>5.4000000000000001E-11</v>
      </c>
      <c r="P61" s="53" t="s">
        <v>190</v>
      </c>
      <c r="Q61" s="53" t="s">
        <v>190</v>
      </c>
      <c r="R61" s="53" t="s">
        <v>190</v>
      </c>
      <c r="W61" s="70"/>
      <c r="X61" s="70"/>
      <c r="Y61" s="58" t="s">
        <v>8</v>
      </c>
      <c r="Z61" s="53" t="str">
        <f t="shared" si="26"/>
        <v>&lt;0.001*</v>
      </c>
      <c r="AA61" s="53" t="str">
        <f t="shared" si="16"/>
        <v>1.000</v>
      </c>
      <c r="AB61" s="53" t="str">
        <f t="shared" si="17"/>
        <v>0.824</v>
      </c>
      <c r="AC61" s="53" t="str">
        <f t="shared" si="18"/>
        <v>0.915</v>
      </c>
      <c r="AD61" s="53" t="str">
        <f t="shared" si="19"/>
        <v>0.982</v>
      </c>
      <c r="AE61" s="53" t="str">
        <f t="shared" si="20"/>
        <v>&lt;0.001*</v>
      </c>
      <c r="AF61" s="53" t="str">
        <f t="shared" si="21"/>
        <v>0.979</v>
      </c>
      <c r="AG61" s="53" t="str">
        <f t="shared" si="22"/>
        <v>&lt;0.001*</v>
      </c>
      <c r="AH61" s="53" t="str">
        <f t="shared" si="23"/>
        <v>-</v>
      </c>
      <c r="AI61" s="53" t="str">
        <f t="shared" si="24"/>
        <v>-</v>
      </c>
      <c r="AJ61" s="53" t="str">
        <f t="shared" si="25"/>
        <v>-</v>
      </c>
    </row>
    <row r="62" spans="5:36" x14ac:dyDescent="0.25">
      <c r="E62" s="70"/>
      <c r="F62" s="70"/>
      <c r="G62" s="58" t="s">
        <v>9</v>
      </c>
      <c r="H62" s="53" t="s">
        <v>187</v>
      </c>
      <c r="I62" s="53">
        <v>0.99885000000000002</v>
      </c>
      <c r="J62" s="53">
        <v>0.93840000000000001</v>
      </c>
      <c r="K62" s="53">
        <v>0.97872999999999999</v>
      </c>
      <c r="L62" s="53">
        <v>0.99782999999999999</v>
      </c>
      <c r="M62" s="53">
        <v>1.3799999999999999E-3</v>
      </c>
      <c r="N62" s="53">
        <v>0.99731000000000003</v>
      </c>
      <c r="O62" s="53">
        <v>6.8000000000000001E-12</v>
      </c>
      <c r="P62" s="53">
        <v>1</v>
      </c>
      <c r="Q62" s="53" t="s">
        <v>190</v>
      </c>
      <c r="R62" s="53" t="s">
        <v>190</v>
      </c>
      <c r="W62" s="70"/>
      <c r="X62" s="70"/>
      <c r="Y62" s="58" t="s">
        <v>9</v>
      </c>
      <c r="Z62" s="53" t="str">
        <f t="shared" si="26"/>
        <v>&lt;0.001*</v>
      </c>
      <c r="AA62" s="53" t="str">
        <f t="shared" si="16"/>
        <v>0.999</v>
      </c>
      <c r="AB62" s="53" t="str">
        <f t="shared" si="17"/>
        <v>0.938</v>
      </c>
      <c r="AC62" s="53" t="str">
        <f t="shared" si="18"/>
        <v>0.979</v>
      </c>
      <c r="AD62" s="53" t="str">
        <f t="shared" si="19"/>
        <v>0.998</v>
      </c>
      <c r="AE62" s="53" t="str">
        <f t="shared" si="20"/>
        <v>0.001*</v>
      </c>
      <c r="AF62" s="53" t="str">
        <f t="shared" si="21"/>
        <v>0.997</v>
      </c>
      <c r="AG62" s="53" t="str">
        <f t="shared" si="22"/>
        <v>&lt;0.001*</v>
      </c>
      <c r="AH62" s="53" t="str">
        <f t="shared" si="23"/>
        <v>1.000</v>
      </c>
      <c r="AI62" s="53" t="str">
        <f t="shared" si="24"/>
        <v>-</v>
      </c>
      <c r="AJ62" s="53" t="str">
        <f t="shared" si="25"/>
        <v>-</v>
      </c>
    </row>
    <row r="63" spans="5:36" x14ac:dyDescent="0.25">
      <c r="E63" s="70"/>
      <c r="F63" s="70"/>
      <c r="G63" s="58" t="s">
        <v>10</v>
      </c>
      <c r="H63" s="53">
        <v>6.7999999999999995E-7</v>
      </c>
      <c r="I63" s="53">
        <v>3.9999999999999998E-6</v>
      </c>
      <c r="J63" s="53">
        <v>4.5E-13</v>
      </c>
      <c r="K63" s="53">
        <v>1.4000000000000001E-12</v>
      </c>
      <c r="L63" s="53">
        <v>1.4E-11</v>
      </c>
      <c r="M63" s="53">
        <v>1.1E-13</v>
      </c>
      <c r="N63" s="53">
        <v>1.2000000000000001E-11</v>
      </c>
      <c r="O63" s="53">
        <v>0.99494000000000005</v>
      </c>
      <c r="P63" s="53">
        <v>8.7999999999999994E-8</v>
      </c>
      <c r="Q63" s="53">
        <v>1.4999999999999999E-8</v>
      </c>
      <c r="R63" s="53" t="s">
        <v>190</v>
      </c>
      <c r="W63" s="70"/>
      <c r="X63" s="70"/>
      <c r="Y63" s="58" t="s">
        <v>10</v>
      </c>
      <c r="Z63" s="53" t="str">
        <f t="shared" si="26"/>
        <v>&lt;0.001*</v>
      </c>
      <c r="AA63" s="53" t="str">
        <f t="shared" si="16"/>
        <v>&lt;0.001*</v>
      </c>
      <c r="AB63" s="53" t="str">
        <f t="shared" si="17"/>
        <v>&lt;0.001*</v>
      </c>
      <c r="AC63" s="53" t="str">
        <f t="shared" si="18"/>
        <v>&lt;0.001*</v>
      </c>
      <c r="AD63" s="53" t="str">
        <f t="shared" si="19"/>
        <v>&lt;0.001*</v>
      </c>
      <c r="AE63" s="53" t="str">
        <f t="shared" si="20"/>
        <v>&lt;0.001*</v>
      </c>
      <c r="AF63" s="53" t="str">
        <f t="shared" si="21"/>
        <v>&lt;0.001*</v>
      </c>
      <c r="AG63" s="53" t="str">
        <f t="shared" si="22"/>
        <v>0.995</v>
      </c>
      <c r="AH63" s="53" t="str">
        <f t="shared" si="23"/>
        <v>&lt;0.001*</v>
      </c>
      <c r="AI63" s="53" t="str">
        <f t="shared" si="24"/>
        <v>&lt;0.001*</v>
      </c>
      <c r="AJ63" s="53" t="str">
        <f t="shared" si="25"/>
        <v>-</v>
      </c>
    </row>
    <row r="64" spans="5:36" x14ac:dyDescent="0.25">
      <c r="E64" s="71"/>
      <c r="F64" s="71"/>
      <c r="G64" s="59" t="s">
        <v>11</v>
      </c>
      <c r="H64" s="77" t="s">
        <v>187</v>
      </c>
      <c r="I64" s="77">
        <v>8.5000000000000004E-14</v>
      </c>
      <c r="J64" s="77">
        <v>3.1999999999999999E-11</v>
      </c>
      <c r="K64" s="77">
        <v>7.0000000000000001E-12</v>
      </c>
      <c r="L64" s="77">
        <v>7.1E-13</v>
      </c>
      <c r="M64" s="77">
        <v>4.0999999999999999E-4</v>
      </c>
      <c r="N64" s="77">
        <v>8.3999999999999995E-13</v>
      </c>
      <c r="O64" s="77" t="s">
        <v>187</v>
      </c>
      <c r="P64" s="77">
        <v>7.7999999999999996E-14</v>
      </c>
      <c r="Q64" s="77">
        <v>9.4999999999999999E-14</v>
      </c>
      <c r="R64" s="77" t="s">
        <v>187</v>
      </c>
      <c r="W64" s="71"/>
      <c r="X64" s="71"/>
      <c r="Y64" s="59" t="s">
        <v>11</v>
      </c>
      <c r="Z64" s="77" t="str">
        <f t="shared" si="26"/>
        <v>&lt;0.001*</v>
      </c>
      <c r="AA64" s="77" t="str">
        <f t="shared" si="16"/>
        <v>&lt;0.001*</v>
      </c>
      <c r="AB64" s="77" t="str">
        <f t="shared" si="17"/>
        <v>&lt;0.001*</v>
      </c>
      <c r="AC64" s="77" t="str">
        <f t="shared" si="18"/>
        <v>&lt;0.001*</v>
      </c>
      <c r="AD64" s="77" t="str">
        <f t="shared" si="19"/>
        <v>&lt;0.001*</v>
      </c>
      <c r="AE64" s="77" t="str">
        <f t="shared" si="20"/>
        <v>&lt;0.001*</v>
      </c>
      <c r="AF64" s="77" t="str">
        <f t="shared" si="21"/>
        <v>&lt;0.001*</v>
      </c>
      <c r="AG64" s="77" t="str">
        <f t="shared" si="22"/>
        <v>&lt;0.001*</v>
      </c>
      <c r="AH64" s="77" t="str">
        <f t="shared" si="23"/>
        <v>&lt;0.001*</v>
      </c>
      <c r="AI64" s="77" t="str">
        <f t="shared" si="24"/>
        <v>&lt;0.001*</v>
      </c>
      <c r="AJ64" s="77" t="str">
        <f t="shared" si="25"/>
        <v>&lt;0.001*</v>
      </c>
    </row>
    <row r="65" spans="5:36" x14ac:dyDescent="0.25">
      <c r="E65" s="70" t="s">
        <v>188</v>
      </c>
      <c r="F65" s="69" t="s">
        <v>185</v>
      </c>
      <c r="G65" s="57" t="s">
        <v>1</v>
      </c>
      <c r="H65" s="55" t="s">
        <v>187</v>
      </c>
      <c r="I65" s="55" t="s">
        <v>190</v>
      </c>
      <c r="J65" s="55" t="s">
        <v>190</v>
      </c>
      <c r="K65" s="55" t="s">
        <v>190</v>
      </c>
      <c r="L65" s="55" t="s">
        <v>190</v>
      </c>
      <c r="M65" s="55" t="s">
        <v>190</v>
      </c>
      <c r="N65" s="55" t="s">
        <v>190</v>
      </c>
      <c r="O65" s="55" t="s">
        <v>190</v>
      </c>
      <c r="P65" s="55" t="s">
        <v>190</v>
      </c>
      <c r="Q65" s="55" t="s">
        <v>190</v>
      </c>
      <c r="R65" s="55" t="s">
        <v>190</v>
      </c>
      <c r="W65" s="70" t="s">
        <v>188</v>
      </c>
      <c r="X65" s="69" t="s">
        <v>185</v>
      </c>
      <c r="Y65" s="57" t="s">
        <v>1</v>
      </c>
      <c r="Z65" s="55" t="str">
        <f>IF(H65="&lt;0.001","&lt;0.001*",IF(H65&lt;0.001,"&lt;0.001*",IF(H65&lt;0.05,_xlfn.CONCAT(TEXT(H65,"0.000"),"*"),TEXT(H65,"0.000"))))</f>
        <v>&lt;0.001*</v>
      </c>
      <c r="AA65" s="55" t="str">
        <f t="shared" si="16"/>
        <v>-</v>
      </c>
      <c r="AB65" s="55" t="str">
        <f t="shared" si="17"/>
        <v>-</v>
      </c>
      <c r="AC65" s="55" t="str">
        <f t="shared" si="18"/>
        <v>-</v>
      </c>
      <c r="AD65" s="55" t="str">
        <f t="shared" si="19"/>
        <v>-</v>
      </c>
      <c r="AE65" s="55" t="str">
        <f t="shared" si="20"/>
        <v>-</v>
      </c>
      <c r="AF65" s="55" t="str">
        <f t="shared" si="21"/>
        <v>-</v>
      </c>
      <c r="AG65" s="55" t="str">
        <f t="shared" si="22"/>
        <v>-</v>
      </c>
      <c r="AH65" s="55" t="str">
        <f t="shared" si="23"/>
        <v>-</v>
      </c>
      <c r="AI65" s="55" t="str">
        <f t="shared" si="24"/>
        <v>-</v>
      </c>
      <c r="AJ65" s="55" t="str">
        <f t="shared" si="25"/>
        <v>-</v>
      </c>
    </row>
    <row r="66" spans="5:36" x14ac:dyDescent="0.25">
      <c r="E66" s="70"/>
      <c r="F66" s="70"/>
      <c r="G66" s="58" t="s">
        <v>2</v>
      </c>
      <c r="H66" s="53" t="s">
        <v>187</v>
      </c>
      <c r="I66" s="53">
        <v>0.15959999999999999</v>
      </c>
      <c r="J66" s="53" t="s">
        <v>190</v>
      </c>
      <c r="K66" s="53" t="s">
        <v>190</v>
      </c>
      <c r="L66" s="53" t="s">
        <v>190</v>
      </c>
      <c r="M66" s="53" t="s">
        <v>190</v>
      </c>
      <c r="N66" s="53" t="s">
        <v>190</v>
      </c>
      <c r="O66" s="53" t="s">
        <v>190</v>
      </c>
      <c r="P66" s="53" t="s">
        <v>190</v>
      </c>
      <c r="Q66" s="53" t="s">
        <v>190</v>
      </c>
      <c r="R66" s="53" t="s">
        <v>190</v>
      </c>
      <c r="W66" s="70"/>
      <c r="X66" s="70"/>
      <c r="Y66" s="58" t="s">
        <v>2</v>
      </c>
      <c r="Z66" s="53" t="str">
        <f t="shared" ref="Z66:Z86" si="27">IF(H66="&lt;0.001","&lt;0.001*",IF(H66&lt;0.001,"&lt;0.001*",IF(H66&lt;0.05,_xlfn.CONCAT(TEXT(H66,"0.000"),"*"),TEXT(H66,"0.000"))))</f>
        <v>&lt;0.001*</v>
      </c>
      <c r="AA66" s="53" t="str">
        <f t="shared" si="16"/>
        <v>0.160</v>
      </c>
      <c r="AB66" s="53" t="str">
        <f t="shared" si="17"/>
        <v>-</v>
      </c>
      <c r="AC66" s="53" t="str">
        <f t="shared" si="18"/>
        <v>-</v>
      </c>
      <c r="AD66" s="53" t="str">
        <f t="shared" si="19"/>
        <v>-</v>
      </c>
      <c r="AE66" s="53" t="str">
        <f t="shared" si="20"/>
        <v>-</v>
      </c>
      <c r="AF66" s="53" t="str">
        <f t="shared" si="21"/>
        <v>-</v>
      </c>
      <c r="AG66" s="53" t="str">
        <f t="shared" si="22"/>
        <v>-</v>
      </c>
      <c r="AH66" s="53" t="str">
        <f t="shared" si="23"/>
        <v>-</v>
      </c>
      <c r="AI66" s="53" t="str">
        <f t="shared" si="24"/>
        <v>-</v>
      </c>
      <c r="AJ66" s="53" t="str">
        <f t="shared" si="25"/>
        <v>-</v>
      </c>
    </row>
    <row r="67" spans="5:36" x14ac:dyDescent="0.25">
      <c r="E67" s="70"/>
      <c r="F67" s="70"/>
      <c r="G67" s="58" t="s">
        <v>3</v>
      </c>
      <c r="H67" s="53" t="s">
        <v>187</v>
      </c>
      <c r="I67" s="53">
        <v>0.29210000000000003</v>
      </c>
      <c r="J67" s="53">
        <v>1</v>
      </c>
      <c r="K67" s="53" t="s">
        <v>190</v>
      </c>
      <c r="L67" s="53" t="s">
        <v>190</v>
      </c>
      <c r="M67" s="53" t="s">
        <v>190</v>
      </c>
      <c r="N67" s="53" t="s">
        <v>190</v>
      </c>
      <c r="O67" s="53" t="s">
        <v>190</v>
      </c>
      <c r="P67" s="53" t="s">
        <v>190</v>
      </c>
      <c r="Q67" s="53" t="s">
        <v>190</v>
      </c>
      <c r="R67" s="53" t="s">
        <v>190</v>
      </c>
      <c r="W67" s="70"/>
      <c r="X67" s="70"/>
      <c r="Y67" s="58" t="s">
        <v>3</v>
      </c>
      <c r="Z67" s="53" t="str">
        <f t="shared" si="27"/>
        <v>&lt;0.001*</v>
      </c>
      <c r="AA67" s="53" t="str">
        <f t="shared" si="16"/>
        <v>0.292</v>
      </c>
      <c r="AB67" s="53" t="str">
        <f t="shared" si="17"/>
        <v>1.000</v>
      </c>
      <c r="AC67" s="53" t="str">
        <f t="shared" si="18"/>
        <v>-</v>
      </c>
      <c r="AD67" s="53" t="str">
        <f t="shared" si="19"/>
        <v>-</v>
      </c>
      <c r="AE67" s="53" t="str">
        <f t="shared" si="20"/>
        <v>-</v>
      </c>
      <c r="AF67" s="53" t="str">
        <f t="shared" si="21"/>
        <v>-</v>
      </c>
      <c r="AG67" s="53" t="str">
        <f t="shared" si="22"/>
        <v>-</v>
      </c>
      <c r="AH67" s="53" t="str">
        <f t="shared" si="23"/>
        <v>-</v>
      </c>
      <c r="AI67" s="53" t="str">
        <f t="shared" si="24"/>
        <v>-</v>
      </c>
      <c r="AJ67" s="53" t="str">
        <f t="shared" si="25"/>
        <v>-</v>
      </c>
    </row>
    <row r="68" spans="5:36" x14ac:dyDescent="0.25">
      <c r="E68" s="70"/>
      <c r="F68" s="70"/>
      <c r="G68" s="58" t="s">
        <v>4</v>
      </c>
      <c r="H68" s="53" t="s">
        <v>187</v>
      </c>
      <c r="I68" s="53">
        <v>0.64790000000000003</v>
      </c>
      <c r="J68" s="53">
        <v>1</v>
      </c>
      <c r="K68" s="53">
        <v>1</v>
      </c>
      <c r="L68" s="53" t="s">
        <v>190</v>
      </c>
      <c r="M68" s="53" t="s">
        <v>190</v>
      </c>
      <c r="N68" s="53" t="s">
        <v>190</v>
      </c>
      <c r="O68" s="53" t="s">
        <v>190</v>
      </c>
      <c r="P68" s="53" t="s">
        <v>190</v>
      </c>
      <c r="Q68" s="53" t="s">
        <v>190</v>
      </c>
      <c r="R68" s="53" t="s">
        <v>190</v>
      </c>
      <c r="W68" s="70"/>
      <c r="X68" s="70"/>
      <c r="Y68" s="58" t="s">
        <v>4</v>
      </c>
      <c r="Z68" s="53" t="str">
        <f t="shared" si="27"/>
        <v>&lt;0.001*</v>
      </c>
      <c r="AA68" s="53" t="str">
        <f t="shared" si="16"/>
        <v>0.648</v>
      </c>
      <c r="AB68" s="53" t="str">
        <f t="shared" si="17"/>
        <v>1.000</v>
      </c>
      <c r="AC68" s="53" t="str">
        <f t="shared" si="18"/>
        <v>1.000</v>
      </c>
      <c r="AD68" s="53" t="str">
        <f t="shared" si="19"/>
        <v>-</v>
      </c>
      <c r="AE68" s="53" t="str">
        <f t="shared" si="20"/>
        <v>-</v>
      </c>
      <c r="AF68" s="53" t="str">
        <f t="shared" si="21"/>
        <v>-</v>
      </c>
      <c r="AG68" s="53" t="str">
        <f t="shared" si="22"/>
        <v>-</v>
      </c>
      <c r="AH68" s="53" t="str">
        <f t="shared" si="23"/>
        <v>-</v>
      </c>
      <c r="AI68" s="53" t="str">
        <f t="shared" si="24"/>
        <v>-</v>
      </c>
      <c r="AJ68" s="53" t="str">
        <f t="shared" si="25"/>
        <v>-</v>
      </c>
    </row>
    <row r="69" spans="5:36" x14ac:dyDescent="0.25">
      <c r="E69" s="70"/>
      <c r="F69" s="70"/>
      <c r="G69" s="58" t="s">
        <v>5</v>
      </c>
      <c r="H69" s="53" t="s">
        <v>187</v>
      </c>
      <c r="I69" s="53">
        <v>4.3000000000000001E-7</v>
      </c>
      <c r="J69" s="53">
        <v>6.2199999999999998E-2</v>
      </c>
      <c r="K69" s="53">
        <v>3.0300000000000001E-2</v>
      </c>
      <c r="L69" s="53">
        <v>9.4999999999999998E-3</v>
      </c>
      <c r="M69" s="53" t="s">
        <v>190</v>
      </c>
      <c r="N69" s="53" t="s">
        <v>190</v>
      </c>
      <c r="O69" s="53" t="s">
        <v>190</v>
      </c>
      <c r="P69" s="53" t="s">
        <v>190</v>
      </c>
      <c r="Q69" s="53" t="s">
        <v>190</v>
      </c>
      <c r="R69" s="53" t="s">
        <v>190</v>
      </c>
      <c r="W69" s="70"/>
      <c r="X69" s="70"/>
      <c r="Y69" s="58" t="s">
        <v>5</v>
      </c>
      <c r="Z69" s="53" t="str">
        <f t="shared" si="27"/>
        <v>&lt;0.001*</v>
      </c>
      <c r="AA69" s="53" t="str">
        <f t="shared" si="16"/>
        <v>&lt;0.001*</v>
      </c>
      <c r="AB69" s="53" t="str">
        <f t="shared" si="17"/>
        <v>0.062</v>
      </c>
      <c r="AC69" s="53" t="str">
        <f t="shared" si="18"/>
        <v>0.030*</v>
      </c>
      <c r="AD69" s="53" t="str">
        <f t="shared" si="19"/>
        <v>0.010*</v>
      </c>
      <c r="AE69" s="53" t="str">
        <f t="shared" si="20"/>
        <v>-</v>
      </c>
      <c r="AF69" s="53" t="str">
        <f t="shared" si="21"/>
        <v>-</v>
      </c>
      <c r="AG69" s="53" t="str">
        <f t="shared" si="22"/>
        <v>-</v>
      </c>
      <c r="AH69" s="53" t="str">
        <f t="shared" si="23"/>
        <v>-</v>
      </c>
      <c r="AI69" s="53" t="str">
        <f t="shared" si="24"/>
        <v>-</v>
      </c>
      <c r="AJ69" s="53" t="str">
        <f t="shared" si="25"/>
        <v>-</v>
      </c>
    </row>
    <row r="70" spans="5:36" x14ac:dyDescent="0.25">
      <c r="E70" s="70"/>
      <c r="F70" s="70"/>
      <c r="G70" s="58" t="s">
        <v>6</v>
      </c>
      <c r="H70" s="53" t="s">
        <v>187</v>
      </c>
      <c r="I70" s="53">
        <v>0.63890000000000002</v>
      </c>
      <c r="J70" s="53">
        <v>1</v>
      </c>
      <c r="K70" s="53">
        <v>1</v>
      </c>
      <c r="L70" s="53">
        <v>1</v>
      </c>
      <c r="M70" s="53">
        <v>1.01E-2</v>
      </c>
      <c r="N70" s="53" t="s">
        <v>190</v>
      </c>
      <c r="O70" s="53" t="s">
        <v>190</v>
      </c>
      <c r="P70" s="53" t="s">
        <v>190</v>
      </c>
      <c r="Q70" s="53" t="s">
        <v>190</v>
      </c>
      <c r="R70" s="53" t="s">
        <v>190</v>
      </c>
      <c r="W70" s="70"/>
      <c r="X70" s="70"/>
      <c r="Y70" s="58" t="s">
        <v>6</v>
      </c>
      <c r="Z70" s="53" t="str">
        <f t="shared" si="27"/>
        <v>&lt;0.001*</v>
      </c>
      <c r="AA70" s="53" t="str">
        <f t="shared" si="16"/>
        <v>0.639</v>
      </c>
      <c r="AB70" s="53" t="str">
        <f t="shared" si="17"/>
        <v>1.000</v>
      </c>
      <c r="AC70" s="53" t="str">
        <f t="shared" si="18"/>
        <v>1.000</v>
      </c>
      <c r="AD70" s="53" t="str">
        <f t="shared" si="19"/>
        <v>1.000</v>
      </c>
      <c r="AE70" s="53" t="str">
        <f t="shared" si="20"/>
        <v>0.010*</v>
      </c>
      <c r="AF70" s="53" t="str">
        <f t="shared" si="21"/>
        <v>-</v>
      </c>
      <c r="AG70" s="53" t="str">
        <f t="shared" si="22"/>
        <v>-</v>
      </c>
      <c r="AH70" s="53" t="str">
        <f t="shared" si="23"/>
        <v>-</v>
      </c>
      <c r="AI70" s="53" t="str">
        <f t="shared" si="24"/>
        <v>-</v>
      </c>
      <c r="AJ70" s="53" t="str">
        <f t="shared" si="25"/>
        <v>-</v>
      </c>
    </row>
    <row r="71" spans="5:36" x14ac:dyDescent="0.25">
      <c r="E71" s="70"/>
      <c r="F71" s="70"/>
      <c r="G71" s="58" t="s">
        <v>7</v>
      </c>
      <c r="H71" s="53">
        <v>1.1E-5</v>
      </c>
      <c r="I71" s="53">
        <v>3.1000000000000003E-11</v>
      </c>
      <c r="J71" s="53" t="s">
        <v>187</v>
      </c>
      <c r="K71" s="53" t="s">
        <v>187</v>
      </c>
      <c r="L71" s="53" t="s">
        <v>187</v>
      </c>
      <c r="M71" s="53" t="s">
        <v>187</v>
      </c>
      <c r="N71" s="53" t="s">
        <v>187</v>
      </c>
      <c r="O71" s="53" t="s">
        <v>190</v>
      </c>
      <c r="P71" s="53" t="s">
        <v>190</v>
      </c>
      <c r="Q71" s="53" t="s">
        <v>190</v>
      </c>
      <c r="R71" s="53" t="s">
        <v>190</v>
      </c>
      <c r="W71" s="70"/>
      <c r="X71" s="70"/>
      <c r="Y71" s="58" t="s">
        <v>7</v>
      </c>
      <c r="Z71" s="53" t="str">
        <f t="shared" si="27"/>
        <v>&lt;0.001*</v>
      </c>
      <c r="AA71" s="53" t="str">
        <f t="shared" si="16"/>
        <v>&lt;0.001*</v>
      </c>
      <c r="AB71" s="53" t="str">
        <f t="shared" si="17"/>
        <v>&lt;0.001*</v>
      </c>
      <c r="AC71" s="53" t="str">
        <f t="shared" si="18"/>
        <v>&lt;0.001*</v>
      </c>
      <c r="AD71" s="53" t="str">
        <f t="shared" si="19"/>
        <v>&lt;0.001*</v>
      </c>
      <c r="AE71" s="53" t="str">
        <f t="shared" si="20"/>
        <v>&lt;0.001*</v>
      </c>
      <c r="AF71" s="53" t="str">
        <f t="shared" si="21"/>
        <v>&lt;0.001*</v>
      </c>
      <c r="AG71" s="53" t="str">
        <f t="shared" si="22"/>
        <v>-</v>
      </c>
      <c r="AH71" s="53" t="str">
        <f t="shared" si="23"/>
        <v>-</v>
      </c>
      <c r="AI71" s="53" t="str">
        <f t="shared" si="24"/>
        <v>-</v>
      </c>
      <c r="AJ71" s="53" t="str">
        <f t="shared" si="25"/>
        <v>-</v>
      </c>
    </row>
    <row r="72" spans="5:36" x14ac:dyDescent="0.25">
      <c r="E72" s="70"/>
      <c r="F72" s="70"/>
      <c r="G72" s="58" t="s">
        <v>8</v>
      </c>
      <c r="H72" s="53" t="s">
        <v>187</v>
      </c>
      <c r="I72" s="53">
        <v>1</v>
      </c>
      <c r="J72" s="53">
        <v>0.87470000000000003</v>
      </c>
      <c r="K72" s="53">
        <v>1</v>
      </c>
      <c r="L72" s="53">
        <v>1</v>
      </c>
      <c r="M72" s="53">
        <v>2.0000000000000002E-5</v>
      </c>
      <c r="N72" s="53">
        <v>1</v>
      </c>
      <c r="O72" s="53">
        <v>1.4000000000000001E-13</v>
      </c>
      <c r="P72" s="53" t="s">
        <v>190</v>
      </c>
      <c r="Q72" s="53" t="s">
        <v>190</v>
      </c>
      <c r="R72" s="53" t="s">
        <v>190</v>
      </c>
      <c r="W72" s="70"/>
      <c r="X72" s="70"/>
      <c r="Y72" s="58" t="s">
        <v>8</v>
      </c>
      <c r="Z72" s="53" t="str">
        <f t="shared" si="27"/>
        <v>&lt;0.001*</v>
      </c>
      <c r="AA72" s="53" t="str">
        <f t="shared" si="16"/>
        <v>1.000</v>
      </c>
      <c r="AB72" s="53" t="str">
        <f t="shared" si="17"/>
        <v>0.875</v>
      </c>
      <c r="AC72" s="53" t="str">
        <f t="shared" si="18"/>
        <v>1.000</v>
      </c>
      <c r="AD72" s="53" t="str">
        <f t="shared" si="19"/>
        <v>1.000</v>
      </c>
      <c r="AE72" s="53" t="str">
        <f t="shared" si="20"/>
        <v>&lt;0.001*</v>
      </c>
      <c r="AF72" s="53" t="str">
        <f t="shared" si="21"/>
        <v>1.000</v>
      </c>
      <c r="AG72" s="53" t="str">
        <f t="shared" si="22"/>
        <v>&lt;0.001*</v>
      </c>
      <c r="AH72" s="53" t="str">
        <f t="shared" si="23"/>
        <v>-</v>
      </c>
      <c r="AI72" s="53" t="str">
        <f t="shared" si="24"/>
        <v>-</v>
      </c>
      <c r="AJ72" s="53" t="str">
        <f t="shared" si="25"/>
        <v>-</v>
      </c>
    </row>
    <row r="73" spans="5:36" x14ac:dyDescent="0.25">
      <c r="E73" s="70"/>
      <c r="F73" s="70"/>
      <c r="G73" s="58" t="s">
        <v>9</v>
      </c>
      <c r="H73" s="53" t="s">
        <v>187</v>
      </c>
      <c r="I73" s="53">
        <v>1</v>
      </c>
      <c r="J73" s="53">
        <v>1</v>
      </c>
      <c r="K73" s="53">
        <v>1</v>
      </c>
      <c r="L73" s="53">
        <v>1</v>
      </c>
      <c r="M73" s="53">
        <v>8.6000000000000003E-5</v>
      </c>
      <c r="N73" s="53">
        <v>1</v>
      </c>
      <c r="O73" s="53">
        <v>1.3E-14</v>
      </c>
      <c r="P73" s="53">
        <v>1</v>
      </c>
      <c r="Q73" s="53" t="s">
        <v>190</v>
      </c>
      <c r="R73" s="53" t="s">
        <v>190</v>
      </c>
      <c r="W73" s="70"/>
      <c r="X73" s="70"/>
      <c r="Y73" s="58" t="s">
        <v>9</v>
      </c>
      <c r="Z73" s="53" t="str">
        <f t="shared" si="27"/>
        <v>&lt;0.001*</v>
      </c>
      <c r="AA73" s="53" t="str">
        <f t="shared" si="16"/>
        <v>1.000</v>
      </c>
      <c r="AB73" s="53" t="str">
        <f t="shared" si="17"/>
        <v>1.000</v>
      </c>
      <c r="AC73" s="53" t="str">
        <f t="shared" si="18"/>
        <v>1.000</v>
      </c>
      <c r="AD73" s="53" t="str">
        <f t="shared" si="19"/>
        <v>1.000</v>
      </c>
      <c r="AE73" s="53" t="str">
        <f t="shared" si="20"/>
        <v>&lt;0.001*</v>
      </c>
      <c r="AF73" s="53" t="str">
        <f t="shared" si="21"/>
        <v>1.000</v>
      </c>
      <c r="AG73" s="53" t="str">
        <f t="shared" si="22"/>
        <v>&lt;0.001*</v>
      </c>
      <c r="AH73" s="53" t="str">
        <f t="shared" si="23"/>
        <v>1.000</v>
      </c>
      <c r="AI73" s="53" t="str">
        <f t="shared" si="24"/>
        <v>-</v>
      </c>
      <c r="AJ73" s="53" t="str">
        <f t="shared" si="25"/>
        <v>-</v>
      </c>
    </row>
    <row r="74" spans="5:36" x14ac:dyDescent="0.25">
      <c r="E74" s="70"/>
      <c r="F74" s="70"/>
      <c r="G74" s="58" t="s">
        <v>10</v>
      </c>
      <c r="H74" s="53">
        <v>1E-8</v>
      </c>
      <c r="I74" s="53">
        <v>8.3999999999999998E-8</v>
      </c>
      <c r="J74" s="53">
        <v>3.2000000000000002E-16</v>
      </c>
      <c r="K74" s="53">
        <v>2.0000000000000002E-15</v>
      </c>
      <c r="L74" s="53">
        <v>3.1E-14</v>
      </c>
      <c r="M74" s="53" t="s">
        <v>187</v>
      </c>
      <c r="N74" s="53">
        <v>2.5000000000000001E-14</v>
      </c>
      <c r="O74" s="53">
        <v>1</v>
      </c>
      <c r="P74" s="53">
        <v>9.2000000000000003E-10</v>
      </c>
      <c r="Q74" s="53">
        <v>1.0999999999999999E-10</v>
      </c>
      <c r="R74" s="53" t="s">
        <v>190</v>
      </c>
      <c r="W74" s="70"/>
      <c r="X74" s="70"/>
      <c r="Y74" s="58" t="s">
        <v>10</v>
      </c>
      <c r="Z74" s="53" t="str">
        <f t="shared" si="27"/>
        <v>&lt;0.001*</v>
      </c>
      <c r="AA74" s="53" t="str">
        <f t="shared" si="16"/>
        <v>&lt;0.001*</v>
      </c>
      <c r="AB74" s="53" t="str">
        <f t="shared" si="17"/>
        <v>&lt;0.001*</v>
      </c>
      <c r="AC74" s="53" t="str">
        <f t="shared" si="18"/>
        <v>&lt;0.001*</v>
      </c>
      <c r="AD74" s="53" t="str">
        <f t="shared" si="19"/>
        <v>&lt;0.001*</v>
      </c>
      <c r="AE74" s="53" t="str">
        <f t="shared" si="20"/>
        <v>&lt;0.001*</v>
      </c>
      <c r="AF74" s="53" t="str">
        <f t="shared" si="21"/>
        <v>&lt;0.001*</v>
      </c>
      <c r="AG74" s="53" t="str">
        <f t="shared" si="22"/>
        <v>1.000</v>
      </c>
      <c r="AH74" s="53" t="str">
        <f t="shared" si="23"/>
        <v>&lt;0.001*</v>
      </c>
      <c r="AI74" s="53" t="str">
        <f t="shared" si="24"/>
        <v>&lt;0.001*</v>
      </c>
      <c r="AJ74" s="53" t="str">
        <f t="shared" si="25"/>
        <v>-</v>
      </c>
    </row>
    <row r="75" spans="5:36" x14ac:dyDescent="0.25">
      <c r="E75" s="70"/>
      <c r="F75" s="71"/>
      <c r="G75" s="59" t="s">
        <v>11</v>
      </c>
      <c r="H75" s="77" t="s">
        <v>187</v>
      </c>
      <c r="I75" s="77" t="s">
        <v>187</v>
      </c>
      <c r="J75" s="77">
        <v>7.9000000000000004E-14</v>
      </c>
      <c r="K75" s="77">
        <v>1.4E-14</v>
      </c>
      <c r="L75" s="77">
        <v>8.7000000000000004E-16</v>
      </c>
      <c r="M75" s="77">
        <v>2.0000000000000002E-5</v>
      </c>
      <c r="N75" s="77">
        <v>1.0999999999999999E-15</v>
      </c>
      <c r="O75" s="77" t="s">
        <v>187</v>
      </c>
      <c r="P75" s="77" t="s">
        <v>187</v>
      </c>
      <c r="Q75" s="77" t="s">
        <v>187</v>
      </c>
      <c r="R75" s="77" t="s">
        <v>187</v>
      </c>
      <c r="W75" s="70"/>
      <c r="X75" s="71"/>
      <c r="Y75" s="59" t="s">
        <v>11</v>
      </c>
      <c r="Z75" s="77" t="str">
        <f t="shared" si="27"/>
        <v>&lt;0.001*</v>
      </c>
      <c r="AA75" s="77" t="str">
        <f t="shared" si="16"/>
        <v>&lt;0.001*</v>
      </c>
      <c r="AB75" s="77" t="str">
        <f t="shared" si="17"/>
        <v>&lt;0.001*</v>
      </c>
      <c r="AC75" s="77" t="str">
        <f t="shared" si="18"/>
        <v>&lt;0.001*</v>
      </c>
      <c r="AD75" s="77" t="str">
        <f t="shared" si="19"/>
        <v>&lt;0.001*</v>
      </c>
      <c r="AE75" s="77" t="str">
        <f t="shared" si="20"/>
        <v>&lt;0.001*</v>
      </c>
      <c r="AF75" s="77" t="str">
        <f t="shared" si="21"/>
        <v>&lt;0.001*</v>
      </c>
      <c r="AG75" s="77" t="str">
        <f t="shared" si="22"/>
        <v>&lt;0.001*</v>
      </c>
      <c r="AH75" s="77" t="str">
        <f t="shared" si="23"/>
        <v>&lt;0.001*</v>
      </c>
      <c r="AI75" s="77" t="str">
        <f t="shared" si="24"/>
        <v>&lt;0.001*</v>
      </c>
      <c r="AJ75" s="77" t="str">
        <f t="shared" si="25"/>
        <v>&lt;0.001*</v>
      </c>
    </row>
    <row r="76" spans="5:36" x14ac:dyDescent="0.25">
      <c r="E76" s="70"/>
      <c r="F76" s="70" t="s">
        <v>186</v>
      </c>
      <c r="G76" s="58" t="s">
        <v>1</v>
      </c>
      <c r="H76" s="53">
        <v>4E-14</v>
      </c>
      <c r="I76" s="53" t="s">
        <v>190</v>
      </c>
      <c r="J76" s="53" t="s">
        <v>190</v>
      </c>
      <c r="K76" s="53" t="s">
        <v>190</v>
      </c>
      <c r="L76" s="53" t="s">
        <v>190</v>
      </c>
      <c r="M76" s="53" t="s">
        <v>190</v>
      </c>
      <c r="N76" s="53" t="s">
        <v>190</v>
      </c>
      <c r="O76" s="53" t="s">
        <v>190</v>
      </c>
      <c r="P76" s="53" t="s">
        <v>190</v>
      </c>
      <c r="Q76" s="53" t="s">
        <v>190</v>
      </c>
      <c r="R76" s="53" t="s">
        <v>190</v>
      </c>
      <c r="W76" s="70"/>
      <c r="X76" s="69" t="s">
        <v>186</v>
      </c>
      <c r="Y76" s="57" t="s">
        <v>1</v>
      </c>
      <c r="Z76" s="55" t="str">
        <f t="shared" si="27"/>
        <v>&lt;0.001*</v>
      </c>
      <c r="AA76" s="55" t="str">
        <f t="shared" ref="AA76:AA86" si="28">IF(I76="&lt;0.001","&lt;0.001*",IF(I76&lt;0.001,"&lt;0.001*",IF(I76&lt;0.05,_xlfn.CONCAT(TEXT(I76,"0.000"),"*"),TEXT(I76,"0.000"))))</f>
        <v>-</v>
      </c>
      <c r="AB76" s="55" t="str">
        <f t="shared" ref="AB76:AB86" si="29">IF(J76="&lt;0.001","&lt;0.001*",IF(J76&lt;0.001,"&lt;0.001*",IF(J76&lt;0.05,_xlfn.CONCAT(TEXT(J76,"0.000"),"*"),TEXT(J76,"0.000"))))</f>
        <v>-</v>
      </c>
      <c r="AC76" s="55" t="str">
        <f t="shared" ref="AC76:AC86" si="30">IF(K76="&lt;0.001","&lt;0.001*",IF(K76&lt;0.001,"&lt;0.001*",IF(K76&lt;0.05,_xlfn.CONCAT(TEXT(K76,"0.000"),"*"),TEXT(K76,"0.000"))))</f>
        <v>-</v>
      </c>
      <c r="AD76" s="55" t="str">
        <f t="shared" ref="AD76:AD86" si="31">IF(L76="&lt;0.001","&lt;0.001*",IF(L76&lt;0.001,"&lt;0.001*",IF(L76&lt;0.05,_xlfn.CONCAT(TEXT(L76,"0.000"),"*"),TEXT(L76,"0.000"))))</f>
        <v>-</v>
      </c>
      <c r="AE76" s="55" t="str">
        <f t="shared" ref="AE76:AE86" si="32">IF(M76="&lt;0.001","&lt;0.001*",IF(M76&lt;0.001,"&lt;0.001*",IF(M76&lt;0.05,_xlfn.CONCAT(TEXT(M76,"0.000"),"*"),TEXT(M76,"0.000"))))</f>
        <v>-</v>
      </c>
      <c r="AF76" s="55" t="str">
        <f t="shared" ref="AF76:AF86" si="33">IF(N76="&lt;0.001","&lt;0.001*",IF(N76&lt;0.001,"&lt;0.001*",IF(N76&lt;0.05,_xlfn.CONCAT(TEXT(N76,"0.000"),"*"),TEXT(N76,"0.000"))))</f>
        <v>-</v>
      </c>
      <c r="AG76" s="55" t="str">
        <f t="shared" ref="AG76:AG86" si="34">IF(O76="&lt;0.001","&lt;0.001*",IF(O76&lt;0.001,"&lt;0.001*",IF(O76&lt;0.05,_xlfn.CONCAT(TEXT(O76,"0.000"),"*"),TEXT(O76,"0.000"))))</f>
        <v>-</v>
      </c>
      <c r="AH76" s="55" t="str">
        <f t="shared" ref="AH76:AH86" si="35">IF(P76="&lt;0.001","&lt;0.001*",IF(P76&lt;0.001,"&lt;0.001*",IF(P76&lt;0.05,_xlfn.CONCAT(TEXT(P76,"0.000"),"*"),TEXT(P76,"0.000"))))</f>
        <v>-</v>
      </c>
      <c r="AI76" s="55" t="str">
        <f t="shared" ref="AI76:AI86" si="36">IF(Q76="&lt;0.001","&lt;0.001*",IF(Q76&lt;0.001,"&lt;0.001*",IF(Q76&lt;0.05,_xlfn.CONCAT(TEXT(Q76,"0.000"),"*"),TEXT(Q76,"0.000"))))</f>
        <v>-</v>
      </c>
      <c r="AJ76" s="55" t="str">
        <f t="shared" ref="AJ76:AJ86" si="37">IF(R76="&lt;0.001","&lt;0.001*",IF(R76&lt;0.001,"&lt;0.001*",IF(R76&lt;0.05,_xlfn.CONCAT(TEXT(R76,"0.000"),"*"),TEXT(R76,"0.000"))))</f>
        <v>-</v>
      </c>
    </row>
    <row r="77" spans="5:36" x14ac:dyDescent="0.25">
      <c r="E77" s="70"/>
      <c r="F77" s="70"/>
      <c r="G77" s="58" t="s">
        <v>2</v>
      </c>
      <c r="H77" s="53" t="s">
        <v>187</v>
      </c>
      <c r="I77" s="53">
        <v>0.37995000000000001</v>
      </c>
      <c r="J77" s="53" t="s">
        <v>190</v>
      </c>
      <c r="K77" s="53" t="s">
        <v>190</v>
      </c>
      <c r="L77" s="53" t="s">
        <v>190</v>
      </c>
      <c r="M77" s="53" t="s">
        <v>190</v>
      </c>
      <c r="N77" s="53" t="s">
        <v>190</v>
      </c>
      <c r="O77" s="53" t="s">
        <v>190</v>
      </c>
      <c r="P77" s="53" t="s">
        <v>190</v>
      </c>
      <c r="Q77" s="53" t="s">
        <v>190</v>
      </c>
      <c r="R77" s="53" t="s">
        <v>190</v>
      </c>
      <c r="W77" s="70"/>
      <c r="X77" s="70"/>
      <c r="Y77" s="58" t="s">
        <v>2</v>
      </c>
      <c r="Z77" s="53" t="str">
        <f t="shared" si="27"/>
        <v>&lt;0.001*</v>
      </c>
      <c r="AA77" s="53" t="str">
        <f t="shared" si="28"/>
        <v>0.380</v>
      </c>
      <c r="AB77" s="53" t="str">
        <f t="shared" si="29"/>
        <v>-</v>
      </c>
      <c r="AC77" s="53" t="str">
        <f t="shared" si="30"/>
        <v>-</v>
      </c>
      <c r="AD77" s="53" t="str">
        <f t="shared" si="31"/>
        <v>-</v>
      </c>
      <c r="AE77" s="53" t="str">
        <f t="shared" si="32"/>
        <v>-</v>
      </c>
      <c r="AF77" s="53" t="str">
        <f t="shared" si="33"/>
        <v>-</v>
      </c>
      <c r="AG77" s="53" t="str">
        <f t="shared" si="34"/>
        <v>-</v>
      </c>
      <c r="AH77" s="53" t="str">
        <f t="shared" si="35"/>
        <v>-</v>
      </c>
      <c r="AI77" s="53" t="str">
        <f t="shared" si="36"/>
        <v>-</v>
      </c>
      <c r="AJ77" s="53" t="str">
        <f t="shared" si="37"/>
        <v>-</v>
      </c>
    </row>
    <row r="78" spans="5:36" x14ac:dyDescent="0.25">
      <c r="E78" s="70"/>
      <c r="F78" s="70"/>
      <c r="G78" s="58" t="s">
        <v>3</v>
      </c>
      <c r="H78" s="53" t="s">
        <v>187</v>
      </c>
      <c r="I78" s="53">
        <v>0.52500000000000002</v>
      </c>
      <c r="J78" s="53">
        <v>1</v>
      </c>
      <c r="K78" s="53" t="s">
        <v>190</v>
      </c>
      <c r="L78" s="53" t="s">
        <v>190</v>
      </c>
      <c r="M78" s="53" t="s">
        <v>190</v>
      </c>
      <c r="N78" s="53" t="s">
        <v>190</v>
      </c>
      <c r="O78" s="53" t="s">
        <v>190</v>
      </c>
      <c r="P78" s="53" t="s">
        <v>190</v>
      </c>
      <c r="Q78" s="53" t="s">
        <v>190</v>
      </c>
      <c r="R78" s="53" t="s">
        <v>190</v>
      </c>
      <c r="W78" s="70"/>
      <c r="X78" s="70"/>
      <c r="Y78" s="58" t="s">
        <v>3</v>
      </c>
      <c r="Z78" s="53" t="str">
        <f t="shared" si="27"/>
        <v>&lt;0.001*</v>
      </c>
      <c r="AA78" s="53" t="str">
        <f t="shared" si="28"/>
        <v>0.525</v>
      </c>
      <c r="AB78" s="53" t="str">
        <f t="shared" si="29"/>
        <v>1.000</v>
      </c>
      <c r="AC78" s="53" t="str">
        <f t="shared" si="30"/>
        <v>-</v>
      </c>
      <c r="AD78" s="53" t="str">
        <f t="shared" si="31"/>
        <v>-</v>
      </c>
      <c r="AE78" s="53" t="str">
        <f t="shared" si="32"/>
        <v>-</v>
      </c>
      <c r="AF78" s="53" t="str">
        <f t="shared" si="33"/>
        <v>-</v>
      </c>
      <c r="AG78" s="53" t="str">
        <f t="shared" si="34"/>
        <v>-</v>
      </c>
      <c r="AH78" s="53" t="str">
        <f t="shared" si="35"/>
        <v>-</v>
      </c>
      <c r="AI78" s="53" t="str">
        <f t="shared" si="36"/>
        <v>-</v>
      </c>
      <c r="AJ78" s="53" t="str">
        <f t="shared" si="37"/>
        <v>-</v>
      </c>
    </row>
    <row r="79" spans="5:36" x14ac:dyDescent="0.25">
      <c r="E79" s="70"/>
      <c r="F79" s="70"/>
      <c r="G79" s="58" t="s">
        <v>4</v>
      </c>
      <c r="H79" s="53" t="s">
        <v>187</v>
      </c>
      <c r="I79" s="53">
        <v>0.74439999999999995</v>
      </c>
      <c r="J79" s="53">
        <v>1</v>
      </c>
      <c r="K79" s="53">
        <v>1</v>
      </c>
      <c r="L79" s="53" t="s">
        <v>190</v>
      </c>
      <c r="M79" s="53" t="s">
        <v>190</v>
      </c>
      <c r="N79" s="53" t="s">
        <v>190</v>
      </c>
      <c r="O79" s="53" t="s">
        <v>190</v>
      </c>
      <c r="P79" s="53" t="s">
        <v>190</v>
      </c>
      <c r="Q79" s="53" t="s">
        <v>190</v>
      </c>
      <c r="R79" s="53" t="s">
        <v>190</v>
      </c>
      <c r="W79" s="70"/>
      <c r="X79" s="70"/>
      <c r="Y79" s="58" t="s">
        <v>4</v>
      </c>
      <c r="Z79" s="53" t="str">
        <f t="shared" si="27"/>
        <v>&lt;0.001*</v>
      </c>
      <c r="AA79" s="53" t="str">
        <f t="shared" si="28"/>
        <v>0.744</v>
      </c>
      <c r="AB79" s="53" t="str">
        <f t="shared" si="29"/>
        <v>1.000</v>
      </c>
      <c r="AC79" s="53" t="str">
        <f t="shared" si="30"/>
        <v>1.000</v>
      </c>
      <c r="AD79" s="53" t="str">
        <f t="shared" si="31"/>
        <v>-</v>
      </c>
      <c r="AE79" s="53" t="str">
        <f t="shared" si="32"/>
        <v>-</v>
      </c>
      <c r="AF79" s="53" t="str">
        <f t="shared" si="33"/>
        <v>-</v>
      </c>
      <c r="AG79" s="53" t="str">
        <f t="shared" si="34"/>
        <v>-</v>
      </c>
      <c r="AH79" s="53" t="str">
        <f t="shared" si="35"/>
        <v>-</v>
      </c>
      <c r="AI79" s="53" t="str">
        <f t="shared" si="36"/>
        <v>-</v>
      </c>
      <c r="AJ79" s="53" t="str">
        <f t="shared" si="37"/>
        <v>-</v>
      </c>
    </row>
    <row r="80" spans="5:36" x14ac:dyDescent="0.25">
      <c r="E80" s="70"/>
      <c r="F80" s="70"/>
      <c r="G80" s="58" t="s">
        <v>5</v>
      </c>
      <c r="H80" s="53" t="s">
        <v>187</v>
      </c>
      <c r="I80" s="53">
        <v>1.5999999999999999E-5</v>
      </c>
      <c r="J80" s="53">
        <v>0.21425</v>
      </c>
      <c r="K80" s="53">
        <v>0.13074</v>
      </c>
      <c r="L80" s="53">
        <v>5.4769999999999999E-2</v>
      </c>
      <c r="M80" s="53" t="s">
        <v>190</v>
      </c>
      <c r="N80" s="53" t="s">
        <v>190</v>
      </c>
      <c r="O80" s="53" t="s">
        <v>190</v>
      </c>
      <c r="P80" s="53" t="s">
        <v>190</v>
      </c>
      <c r="Q80" s="53" t="s">
        <v>190</v>
      </c>
      <c r="R80" s="53" t="s">
        <v>190</v>
      </c>
      <c r="W80" s="70"/>
      <c r="X80" s="70"/>
      <c r="Y80" s="58" t="s">
        <v>5</v>
      </c>
      <c r="Z80" s="53" t="str">
        <f t="shared" si="27"/>
        <v>&lt;0.001*</v>
      </c>
      <c r="AA80" s="53" t="str">
        <f t="shared" si="28"/>
        <v>&lt;0.001*</v>
      </c>
      <c r="AB80" s="53" t="str">
        <f t="shared" si="29"/>
        <v>0.214</v>
      </c>
      <c r="AC80" s="53" t="str">
        <f t="shared" si="30"/>
        <v>0.131</v>
      </c>
      <c r="AD80" s="53" t="str">
        <f t="shared" si="31"/>
        <v>0.055</v>
      </c>
      <c r="AE80" s="53" t="str">
        <f t="shared" si="32"/>
        <v>-</v>
      </c>
      <c r="AF80" s="53" t="str">
        <f t="shared" si="33"/>
        <v>-</v>
      </c>
      <c r="AG80" s="53" t="str">
        <f t="shared" si="34"/>
        <v>-</v>
      </c>
      <c r="AH80" s="53" t="str">
        <f t="shared" si="35"/>
        <v>-</v>
      </c>
      <c r="AI80" s="53" t="str">
        <f t="shared" si="36"/>
        <v>-</v>
      </c>
      <c r="AJ80" s="53" t="str">
        <f t="shared" si="37"/>
        <v>-</v>
      </c>
    </row>
    <row r="81" spans="5:36" x14ac:dyDescent="0.25">
      <c r="E81" s="70"/>
      <c r="F81" s="70"/>
      <c r="G81" s="58" t="s">
        <v>6</v>
      </c>
      <c r="H81" s="53" t="s">
        <v>187</v>
      </c>
      <c r="I81" s="53">
        <v>0.72889000000000004</v>
      </c>
      <c r="J81" s="53">
        <v>1</v>
      </c>
      <c r="K81" s="53">
        <v>1</v>
      </c>
      <c r="L81" s="53">
        <v>1</v>
      </c>
      <c r="M81" s="53">
        <v>5.8860000000000003E-2</v>
      </c>
      <c r="N81" s="53" t="s">
        <v>190</v>
      </c>
      <c r="O81" s="53" t="s">
        <v>190</v>
      </c>
      <c r="P81" s="53" t="s">
        <v>190</v>
      </c>
      <c r="Q81" s="53" t="s">
        <v>190</v>
      </c>
      <c r="R81" s="53" t="s">
        <v>190</v>
      </c>
      <c r="W81" s="70"/>
      <c r="X81" s="70"/>
      <c r="Y81" s="58" t="s">
        <v>6</v>
      </c>
      <c r="Z81" s="53" t="str">
        <f t="shared" si="27"/>
        <v>&lt;0.001*</v>
      </c>
      <c r="AA81" s="53" t="str">
        <f t="shared" si="28"/>
        <v>0.729</v>
      </c>
      <c r="AB81" s="53" t="str">
        <f t="shared" si="29"/>
        <v>1.000</v>
      </c>
      <c r="AC81" s="53" t="str">
        <f t="shared" si="30"/>
        <v>1.000</v>
      </c>
      <c r="AD81" s="53" t="str">
        <f t="shared" si="31"/>
        <v>1.000</v>
      </c>
      <c r="AE81" s="53" t="str">
        <f t="shared" si="32"/>
        <v>0.059</v>
      </c>
      <c r="AF81" s="53" t="str">
        <f t="shared" si="33"/>
        <v>-</v>
      </c>
      <c r="AG81" s="53" t="str">
        <f t="shared" si="34"/>
        <v>-</v>
      </c>
      <c r="AH81" s="53" t="str">
        <f t="shared" si="35"/>
        <v>-</v>
      </c>
      <c r="AI81" s="53" t="str">
        <f t="shared" si="36"/>
        <v>-</v>
      </c>
      <c r="AJ81" s="53" t="str">
        <f t="shared" si="37"/>
        <v>-</v>
      </c>
    </row>
    <row r="82" spans="5:36" x14ac:dyDescent="0.25">
      <c r="E82" s="70"/>
      <c r="F82" s="70"/>
      <c r="G82" s="58" t="s">
        <v>7</v>
      </c>
      <c r="H82" s="53">
        <v>2.3000000000000001E-4</v>
      </c>
      <c r="I82" s="53">
        <v>5.0000000000000001E-9</v>
      </c>
      <c r="J82" s="53">
        <v>8.2000000000000004E-14</v>
      </c>
      <c r="K82" s="53">
        <v>9.5999999999999995E-14</v>
      </c>
      <c r="L82" s="53">
        <v>1.1999999999999999E-13</v>
      </c>
      <c r="M82" s="53" t="s">
        <v>187</v>
      </c>
      <c r="N82" s="53">
        <v>1.1999999999999999E-13</v>
      </c>
      <c r="O82" s="53" t="s">
        <v>190</v>
      </c>
      <c r="P82" s="53" t="s">
        <v>190</v>
      </c>
      <c r="Q82" s="53" t="s">
        <v>190</v>
      </c>
      <c r="R82" s="53" t="s">
        <v>190</v>
      </c>
      <c r="W82" s="70"/>
      <c r="X82" s="70"/>
      <c r="Y82" s="58" t="s">
        <v>7</v>
      </c>
      <c r="Z82" s="53" t="str">
        <f t="shared" si="27"/>
        <v>&lt;0.001*</v>
      </c>
      <c r="AA82" s="53" t="str">
        <f t="shared" si="28"/>
        <v>&lt;0.001*</v>
      </c>
      <c r="AB82" s="53" t="str">
        <f t="shared" si="29"/>
        <v>&lt;0.001*</v>
      </c>
      <c r="AC82" s="53" t="str">
        <f t="shared" si="30"/>
        <v>&lt;0.001*</v>
      </c>
      <c r="AD82" s="53" t="str">
        <f t="shared" si="31"/>
        <v>&lt;0.001*</v>
      </c>
      <c r="AE82" s="53" t="str">
        <f t="shared" si="32"/>
        <v>&lt;0.001*</v>
      </c>
      <c r="AF82" s="53" t="str">
        <f t="shared" si="33"/>
        <v>&lt;0.001*</v>
      </c>
      <c r="AG82" s="53" t="str">
        <f t="shared" si="34"/>
        <v>-</v>
      </c>
      <c r="AH82" s="53" t="str">
        <f t="shared" si="35"/>
        <v>-</v>
      </c>
      <c r="AI82" s="53" t="str">
        <f t="shared" si="36"/>
        <v>-</v>
      </c>
      <c r="AJ82" s="53" t="str">
        <f t="shared" si="37"/>
        <v>-</v>
      </c>
    </row>
    <row r="83" spans="5:36" x14ac:dyDescent="0.25">
      <c r="E83" s="70"/>
      <c r="F83" s="70"/>
      <c r="G83" s="58" t="s">
        <v>8</v>
      </c>
      <c r="H83" s="53" t="s">
        <v>187</v>
      </c>
      <c r="I83" s="53">
        <v>0.99997000000000003</v>
      </c>
      <c r="J83" s="53">
        <v>0.8236</v>
      </c>
      <c r="K83" s="53">
        <v>0.91461000000000003</v>
      </c>
      <c r="L83" s="53">
        <v>0.98209999999999997</v>
      </c>
      <c r="M83" s="53">
        <v>3.8999999999999999E-4</v>
      </c>
      <c r="N83" s="53">
        <v>0.97931999999999997</v>
      </c>
      <c r="O83" s="53">
        <v>5.4000000000000001E-11</v>
      </c>
      <c r="P83" s="53" t="s">
        <v>190</v>
      </c>
      <c r="Q83" s="53" t="s">
        <v>190</v>
      </c>
      <c r="R83" s="53" t="s">
        <v>190</v>
      </c>
      <c r="W83" s="70"/>
      <c r="X83" s="70"/>
      <c r="Y83" s="58" t="s">
        <v>8</v>
      </c>
      <c r="Z83" s="53" t="str">
        <f t="shared" si="27"/>
        <v>&lt;0.001*</v>
      </c>
      <c r="AA83" s="53" t="str">
        <f t="shared" si="28"/>
        <v>1.000</v>
      </c>
      <c r="AB83" s="53" t="str">
        <f t="shared" si="29"/>
        <v>0.824</v>
      </c>
      <c r="AC83" s="53" t="str">
        <f t="shared" si="30"/>
        <v>0.915</v>
      </c>
      <c r="AD83" s="53" t="str">
        <f t="shared" si="31"/>
        <v>0.982</v>
      </c>
      <c r="AE83" s="53" t="str">
        <f t="shared" si="32"/>
        <v>&lt;0.001*</v>
      </c>
      <c r="AF83" s="53" t="str">
        <f t="shared" si="33"/>
        <v>0.979</v>
      </c>
      <c r="AG83" s="53" t="str">
        <f t="shared" si="34"/>
        <v>&lt;0.001*</v>
      </c>
      <c r="AH83" s="53" t="str">
        <f t="shared" si="35"/>
        <v>-</v>
      </c>
      <c r="AI83" s="53" t="str">
        <f t="shared" si="36"/>
        <v>-</v>
      </c>
      <c r="AJ83" s="53" t="str">
        <f t="shared" si="37"/>
        <v>-</v>
      </c>
    </row>
    <row r="84" spans="5:36" x14ac:dyDescent="0.25">
      <c r="E84" s="70"/>
      <c r="F84" s="70"/>
      <c r="G84" s="58" t="s">
        <v>9</v>
      </c>
      <c r="H84" s="53" t="s">
        <v>187</v>
      </c>
      <c r="I84" s="53">
        <v>0.99885000000000002</v>
      </c>
      <c r="J84" s="53">
        <v>0.93840000000000001</v>
      </c>
      <c r="K84" s="53">
        <v>0.97872999999999999</v>
      </c>
      <c r="L84" s="53">
        <v>0.99782999999999999</v>
      </c>
      <c r="M84" s="53">
        <v>1.3799999999999999E-3</v>
      </c>
      <c r="N84" s="53">
        <v>0.99731000000000003</v>
      </c>
      <c r="O84" s="53">
        <v>6.8000000000000001E-12</v>
      </c>
      <c r="P84" s="53">
        <v>1</v>
      </c>
      <c r="Q84" s="53" t="s">
        <v>190</v>
      </c>
      <c r="R84" s="53" t="s">
        <v>190</v>
      </c>
      <c r="W84" s="70"/>
      <c r="X84" s="70"/>
      <c r="Y84" s="58" t="s">
        <v>9</v>
      </c>
      <c r="Z84" s="53" t="str">
        <f t="shared" si="27"/>
        <v>&lt;0.001*</v>
      </c>
      <c r="AA84" s="53" t="str">
        <f t="shared" si="28"/>
        <v>0.999</v>
      </c>
      <c r="AB84" s="53" t="str">
        <f t="shared" si="29"/>
        <v>0.938</v>
      </c>
      <c r="AC84" s="53" t="str">
        <f t="shared" si="30"/>
        <v>0.979</v>
      </c>
      <c r="AD84" s="53" t="str">
        <f t="shared" si="31"/>
        <v>0.998</v>
      </c>
      <c r="AE84" s="53" t="str">
        <f t="shared" si="32"/>
        <v>0.001*</v>
      </c>
      <c r="AF84" s="53" t="str">
        <f t="shared" si="33"/>
        <v>0.997</v>
      </c>
      <c r="AG84" s="53" t="str">
        <f t="shared" si="34"/>
        <v>&lt;0.001*</v>
      </c>
      <c r="AH84" s="53" t="str">
        <f t="shared" si="35"/>
        <v>1.000</v>
      </c>
      <c r="AI84" s="53" t="str">
        <f t="shared" si="36"/>
        <v>-</v>
      </c>
      <c r="AJ84" s="53" t="str">
        <f t="shared" si="37"/>
        <v>-</v>
      </c>
    </row>
    <row r="85" spans="5:36" x14ac:dyDescent="0.25">
      <c r="E85" s="70"/>
      <c r="F85" s="70"/>
      <c r="G85" s="58" t="s">
        <v>10</v>
      </c>
      <c r="H85" s="53">
        <v>6.7999999999999995E-7</v>
      </c>
      <c r="I85" s="53">
        <v>3.9999999999999998E-6</v>
      </c>
      <c r="J85" s="53">
        <v>4.5E-13</v>
      </c>
      <c r="K85" s="53">
        <v>1.4000000000000001E-12</v>
      </c>
      <c r="L85" s="53">
        <v>1.4E-11</v>
      </c>
      <c r="M85" s="53">
        <v>1.1E-13</v>
      </c>
      <c r="N85" s="53">
        <v>1.2000000000000001E-11</v>
      </c>
      <c r="O85" s="53">
        <v>0.99494000000000005</v>
      </c>
      <c r="P85" s="53">
        <v>8.7999999999999994E-8</v>
      </c>
      <c r="Q85" s="53">
        <v>1.4999999999999999E-8</v>
      </c>
      <c r="R85" s="53" t="s">
        <v>190</v>
      </c>
      <c r="W85" s="70"/>
      <c r="X85" s="70"/>
      <c r="Y85" s="58" t="s">
        <v>10</v>
      </c>
      <c r="Z85" s="53" t="str">
        <f t="shared" si="27"/>
        <v>&lt;0.001*</v>
      </c>
      <c r="AA85" s="53" t="str">
        <f t="shared" si="28"/>
        <v>&lt;0.001*</v>
      </c>
      <c r="AB85" s="53" t="str">
        <f t="shared" si="29"/>
        <v>&lt;0.001*</v>
      </c>
      <c r="AC85" s="53" t="str">
        <f t="shared" si="30"/>
        <v>&lt;0.001*</v>
      </c>
      <c r="AD85" s="53" t="str">
        <f t="shared" si="31"/>
        <v>&lt;0.001*</v>
      </c>
      <c r="AE85" s="53" t="str">
        <f t="shared" si="32"/>
        <v>&lt;0.001*</v>
      </c>
      <c r="AF85" s="53" t="str">
        <f t="shared" si="33"/>
        <v>&lt;0.001*</v>
      </c>
      <c r="AG85" s="53" t="str">
        <f t="shared" si="34"/>
        <v>0.995</v>
      </c>
      <c r="AH85" s="53" t="str">
        <f t="shared" si="35"/>
        <v>&lt;0.001*</v>
      </c>
      <c r="AI85" s="53" t="str">
        <f t="shared" si="36"/>
        <v>&lt;0.001*</v>
      </c>
      <c r="AJ85" s="53" t="str">
        <f t="shared" si="37"/>
        <v>-</v>
      </c>
    </row>
    <row r="86" spans="5:36" x14ac:dyDescent="0.25">
      <c r="E86" s="71"/>
      <c r="F86" s="71"/>
      <c r="G86" s="59" t="s">
        <v>11</v>
      </c>
      <c r="H86" s="77" t="s">
        <v>187</v>
      </c>
      <c r="I86" s="77">
        <v>8.5000000000000004E-14</v>
      </c>
      <c r="J86" s="77">
        <v>3.1999999999999999E-11</v>
      </c>
      <c r="K86" s="77">
        <v>7.0000000000000001E-12</v>
      </c>
      <c r="L86" s="77">
        <v>7.1E-13</v>
      </c>
      <c r="M86" s="77">
        <v>4.0999999999999999E-4</v>
      </c>
      <c r="N86" s="77">
        <v>8.3999999999999995E-13</v>
      </c>
      <c r="O86" s="77" t="s">
        <v>187</v>
      </c>
      <c r="P86" s="77">
        <v>7.7999999999999996E-14</v>
      </c>
      <c r="Q86" s="77">
        <v>9.4999999999999999E-14</v>
      </c>
      <c r="R86" s="77" t="s">
        <v>187</v>
      </c>
      <c r="W86" s="71"/>
      <c r="X86" s="71"/>
      <c r="Y86" s="59" t="s">
        <v>11</v>
      </c>
      <c r="Z86" s="77" t="str">
        <f t="shared" si="27"/>
        <v>&lt;0.001*</v>
      </c>
      <c r="AA86" s="77" t="str">
        <f t="shared" si="28"/>
        <v>&lt;0.001*</v>
      </c>
      <c r="AB86" s="77" t="str">
        <f t="shared" si="29"/>
        <v>&lt;0.001*</v>
      </c>
      <c r="AC86" s="77" t="str">
        <f t="shared" si="30"/>
        <v>&lt;0.001*</v>
      </c>
      <c r="AD86" s="77" t="str">
        <f t="shared" si="31"/>
        <v>&lt;0.001*</v>
      </c>
      <c r="AE86" s="77" t="str">
        <f t="shared" si="32"/>
        <v>&lt;0.001*</v>
      </c>
      <c r="AF86" s="77" t="str">
        <f t="shared" si="33"/>
        <v>&lt;0.001*</v>
      </c>
      <c r="AG86" s="77" t="str">
        <f t="shared" si="34"/>
        <v>&lt;0.001*</v>
      </c>
      <c r="AH86" s="77" t="str">
        <f t="shared" si="35"/>
        <v>&lt;0.001*</v>
      </c>
      <c r="AI86" s="77" t="str">
        <f t="shared" si="36"/>
        <v>&lt;0.001*</v>
      </c>
      <c r="AJ86" s="77" t="str">
        <f t="shared" si="37"/>
        <v>&lt;0.001*</v>
      </c>
    </row>
  </sheetData>
  <mergeCells count="26">
    <mergeCell ref="W65:W86"/>
    <mergeCell ref="X65:X75"/>
    <mergeCell ref="X76:X86"/>
    <mergeCell ref="W21:W42"/>
    <mergeCell ref="X21:X31"/>
    <mergeCell ref="X32:X42"/>
    <mergeCell ref="W43:W64"/>
    <mergeCell ref="X43:X53"/>
    <mergeCell ref="X54:X64"/>
    <mergeCell ref="AJ7:AJ8"/>
    <mergeCell ref="AJ9:AJ10"/>
    <mergeCell ref="AJ11:AJ12"/>
    <mergeCell ref="F7:F12"/>
    <mergeCell ref="G7:G8"/>
    <mergeCell ref="G9:G10"/>
    <mergeCell ref="G11:G12"/>
    <mergeCell ref="AI7:AI12"/>
    <mergeCell ref="F65:F75"/>
    <mergeCell ref="F76:F86"/>
    <mergeCell ref="E21:E42"/>
    <mergeCell ref="E43:E64"/>
    <mergeCell ref="E65:E86"/>
    <mergeCell ref="F21:F31"/>
    <mergeCell ref="F32:F42"/>
    <mergeCell ref="F43:F53"/>
    <mergeCell ref="F54:F6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8DC1C-0FBC-4A4E-849F-683F214CAC89}">
  <sheetPr codeName="Sheet2"/>
  <dimension ref="A5:H57"/>
  <sheetViews>
    <sheetView zoomScale="85" zoomScaleNormal="85" workbookViewId="0">
      <selection activeCell="K18" sqref="K18"/>
    </sheetView>
  </sheetViews>
  <sheetFormatPr defaultRowHeight="15" x14ac:dyDescent="0.25"/>
  <cols>
    <col min="1" max="2" width="31.140625" bestFit="1" customWidth="1"/>
    <col min="3" max="3" width="12.5703125" bestFit="1" customWidth="1"/>
  </cols>
  <sheetData>
    <row r="5" spans="1:8" x14ac:dyDescent="0.25">
      <c r="B5" t="s">
        <v>169</v>
      </c>
      <c r="C5" t="s">
        <v>64</v>
      </c>
      <c r="D5" t="s">
        <v>193</v>
      </c>
      <c r="E5" t="s">
        <v>194</v>
      </c>
      <c r="F5" t="s">
        <v>196</v>
      </c>
      <c r="G5" t="s">
        <v>192</v>
      </c>
      <c r="H5" t="s">
        <v>195</v>
      </c>
    </row>
    <row r="6" spans="1:8" x14ac:dyDescent="0.25">
      <c r="A6" s="64"/>
      <c r="B6" t="s">
        <v>12</v>
      </c>
      <c r="C6" t="s">
        <v>65</v>
      </c>
      <c r="D6">
        <v>280</v>
      </c>
      <c r="E6">
        <v>6</v>
      </c>
      <c r="F6">
        <v>13</v>
      </c>
      <c r="G6" t="s">
        <v>66</v>
      </c>
      <c r="H6" s="63">
        <v>2.1428571428571429E-2</v>
      </c>
    </row>
    <row r="7" spans="1:8" x14ac:dyDescent="0.25">
      <c r="A7" s="64"/>
      <c r="B7" t="s">
        <v>13</v>
      </c>
      <c r="C7" t="s">
        <v>67</v>
      </c>
      <c r="D7">
        <v>336</v>
      </c>
      <c r="E7">
        <v>7</v>
      </c>
      <c r="F7">
        <v>10.59</v>
      </c>
      <c r="G7" t="s">
        <v>68</v>
      </c>
      <c r="H7" s="63">
        <v>2.0833333333333332E-2</v>
      </c>
    </row>
    <row r="8" spans="1:8" x14ac:dyDescent="0.25">
      <c r="A8" s="64"/>
      <c r="B8" t="s">
        <v>14</v>
      </c>
      <c r="C8" t="s">
        <v>69</v>
      </c>
      <c r="D8">
        <v>332</v>
      </c>
      <c r="E8">
        <v>6</v>
      </c>
      <c r="F8">
        <v>12.28</v>
      </c>
      <c r="G8" t="s">
        <v>70</v>
      </c>
      <c r="H8" s="63">
        <v>1.8072289156626505E-2</v>
      </c>
    </row>
    <row r="9" spans="1:8" x14ac:dyDescent="0.25">
      <c r="A9" s="64"/>
      <c r="B9" t="s">
        <v>15</v>
      </c>
      <c r="C9" t="s">
        <v>71</v>
      </c>
      <c r="D9">
        <v>244</v>
      </c>
      <c r="E9">
        <v>7</v>
      </c>
      <c r="F9">
        <v>9.17</v>
      </c>
      <c r="G9" t="s">
        <v>72</v>
      </c>
      <c r="H9" s="63">
        <v>2.8688524590163935E-2</v>
      </c>
    </row>
    <row r="10" spans="1:8" x14ac:dyDescent="0.25">
      <c r="A10" s="64"/>
      <c r="B10" t="s">
        <v>16</v>
      </c>
      <c r="C10" t="s">
        <v>73</v>
      </c>
      <c r="D10">
        <v>240</v>
      </c>
      <c r="E10">
        <v>6</v>
      </c>
      <c r="F10">
        <v>11</v>
      </c>
      <c r="G10" t="s">
        <v>74</v>
      </c>
      <c r="H10" s="63">
        <v>2.5000000000000001E-2</v>
      </c>
    </row>
    <row r="11" spans="1:8" x14ac:dyDescent="0.25">
      <c r="A11" s="64"/>
      <c r="B11" t="s">
        <v>17</v>
      </c>
      <c r="C11" t="s">
        <v>75</v>
      </c>
      <c r="D11">
        <v>202</v>
      </c>
      <c r="E11">
        <v>7</v>
      </c>
      <c r="F11">
        <v>9.1</v>
      </c>
      <c r="G11" t="s">
        <v>76</v>
      </c>
      <c r="H11" s="63">
        <v>3.4653465346534656E-2</v>
      </c>
    </row>
    <row r="12" spans="1:8" x14ac:dyDescent="0.25">
      <c r="A12" s="64"/>
      <c r="B12" t="s">
        <v>18</v>
      </c>
      <c r="C12" t="s">
        <v>77</v>
      </c>
      <c r="D12">
        <v>257</v>
      </c>
      <c r="E12">
        <v>7</v>
      </c>
      <c r="F12">
        <v>9.2799999999999994</v>
      </c>
      <c r="G12" t="s">
        <v>78</v>
      </c>
      <c r="H12" s="63">
        <v>2.7237354085603113E-2</v>
      </c>
    </row>
    <row r="13" spans="1:8" x14ac:dyDescent="0.25">
      <c r="A13" s="64"/>
      <c r="B13" t="s">
        <v>19</v>
      </c>
      <c r="C13" t="s">
        <v>79</v>
      </c>
      <c r="D13">
        <v>200</v>
      </c>
      <c r="E13">
        <v>7</v>
      </c>
      <c r="F13">
        <v>9</v>
      </c>
      <c r="G13" t="s">
        <v>80</v>
      </c>
      <c r="H13" s="63">
        <v>3.5000000000000003E-2</v>
      </c>
    </row>
    <row r="14" spans="1:8" x14ac:dyDescent="0.25">
      <c r="A14" s="64"/>
      <c r="B14" t="s">
        <v>20</v>
      </c>
      <c r="C14" t="s">
        <v>81</v>
      </c>
      <c r="D14">
        <v>203</v>
      </c>
      <c r="E14">
        <v>6</v>
      </c>
      <c r="F14">
        <v>9.15</v>
      </c>
      <c r="G14" t="s">
        <v>82</v>
      </c>
      <c r="H14" s="63">
        <v>2.9556650246305417E-2</v>
      </c>
    </row>
    <row r="15" spans="1:8" x14ac:dyDescent="0.25">
      <c r="A15" s="64"/>
      <c r="B15" t="s">
        <v>21</v>
      </c>
      <c r="C15" t="s">
        <v>83</v>
      </c>
      <c r="D15">
        <v>220</v>
      </c>
      <c r="E15">
        <v>7</v>
      </c>
      <c r="F15">
        <v>1.86</v>
      </c>
      <c r="G15" t="s">
        <v>84</v>
      </c>
      <c r="H15" s="63">
        <v>3.1818181818181815E-2</v>
      </c>
    </row>
    <row r="16" spans="1:8" x14ac:dyDescent="0.25">
      <c r="A16" s="64"/>
      <c r="B16" t="s">
        <v>22</v>
      </c>
      <c r="C16" t="s">
        <v>85</v>
      </c>
      <c r="D16">
        <v>336</v>
      </c>
      <c r="E16">
        <v>7</v>
      </c>
      <c r="F16">
        <v>3.36</v>
      </c>
      <c r="G16" t="s">
        <v>86</v>
      </c>
      <c r="H16" s="63">
        <v>2.0833333333333332E-2</v>
      </c>
    </row>
    <row r="17" spans="1:8" x14ac:dyDescent="0.25">
      <c r="A17" s="64"/>
      <c r="B17" t="s">
        <v>23</v>
      </c>
      <c r="C17" t="s">
        <v>87</v>
      </c>
      <c r="D17">
        <v>336</v>
      </c>
      <c r="E17">
        <v>7</v>
      </c>
      <c r="F17">
        <v>5.46</v>
      </c>
      <c r="G17" t="s">
        <v>89</v>
      </c>
      <c r="H17" s="63">
        <v>2.0833333333333332E-2</v>
      </c>
    </row>
    <row r="18" spans="1:8" x14ac:dyDescent="0.25">
      <c r="A18" s="64"/>
      <c r="B18" t="s">
        <v>24</v>
      </c>
      <c r="C18" t="s">
        <v>88</v>
      </c>
      <c r="D18">
        <v>336</v>
      </c>
      <c r="E18">
        <v>7</v>
      </c>
      <c r="F18">
        <v>8.6</v>
      </c>
      <c r="G18" t="s">
        <v>91</v>
      </c>
      <c r="H18" s="63">
        <v>2.0833333333333332E-2</v>
      </c>
    </row>
    <row r="19" spans="1:8" x14ac:dyDescent="0.25">
      <c r="A19" s="64"/>
      <c r="B19" t="s">
        <v>25</v>
      </c>
      <c r="C19" t="s">
        <v>90</v>
      </c>
      <c r="D19">
        <v>336</v>
      </c>
      <c r="E19">
        <v>7</v>
      </c>
      <c r="F19">
        <v>15.8</v>
      </c>
      <c r="G19" t="s">
        <v>93</v>
      </c>
      <c r="H19" s="63">
        <v>2.0833333333333332E-2</v>
      </c>
    </row>
    <row r="20" spans="1:8" x14ac:dyDescent="0.25">
      <c r="A20" s="64"/>
      <c r="B20" t="s">
        <v>26</v>
      </c>
      <c r="C20" t="s">
        <v>92</v>
      </c>
      <c r="D20">
        <v>351</v>
      </c>
      <c r="E20">
        <v>33</v>
      </c>
      <c r="F20">
        <v>1.79</v>
      </c>
      <c r="G20" t="s">
        <v>95</v>
      </c>
      <c r="H20" s="63">
        <v>9.4017094017094016E-2</v>
      </c>
    </row>
    <row r="21" spans="1:8" x14ac:dyDescent="0.25">
      <c r="A21" s="64"/>
      <c r="B21" t="s">
        <v>27</v>
      </c>
      <c r="C21" t="s">
        <v>94</v>
      </c>
      <c r="D21">
        <v>208</v>
      </c>
      <c r="E21">
        <v>60</v>
      </c>
      <c r="F21">
        <v>1.1399999999999999</v>
      </c>
      <c r="G21" t="s">
        <v>97</v>
      </c>
      <c r="H21" s="63">
        <v>0.28846153846153844</v>
      </c>
    </row>
    <row r="22" spans="1:8" x14ac:dyDescent="0.25">
      <c r="A22" s="64"/>
      <c r="B22" t="s">
        <v>28</v>
      </c>
      <c r="C22" t="s">
        <v>96</v>
      </c>
      <c r="D22">
        <v>846</v>
      </c>
      <c r="E22">
        <v>18</v>
      </c>
      <c r="F22">
        <v>3.25</v>
      </c>
      <c r="G22" t="s">
        <v>99</v>
      </c>
      <c r="H22" s="63">
        <v>2.1276595744680851E-2</v>
      </c>
    </row>
    <row r="23" spans="1:8" x14ac:dyDescent="0.25">
      <c r="A23" s="64"/>
      <c r="B23" t="s">
        <v>29</v>
      </c>
      <c r="C23" t="s">
        <v>98</v>
      </c>
      <c r="D23">
        <v>846</v>
      </c>
      <c r="E23">
        <v>18</v>
      </c>
      <c r="F23">
        <v>2.9</v>
      </c>
      <c r="G23" t="s">
        <v>101</v>
      </c>
      <c r="H23" s="63">
        <v>2.1276595744680851E-2</v>
      </c>
    </row>
    <row r="24" spans="1:8" x14ac:dyDescent="0.25">
      <c r="A24" s="64"/>
      <c r="B24" t="s">
        <v>30</v>
      </c>
      <c r="C24" t="s">
        <v>100</v>
      </c>
      <c r="D24">
        <v>2019</v>
      </c>
      <c r="E24">
        <v>58</v>
      </c>
      <c r="F24">
        <v>1.81</v>
      </c>
      <c r="G24" t="s">
        <v>103</v>
      </c>
      <c r="H24" s="63">
        <v>2.8727092620108963E-2</v>
      </c>
    </row>
    <row r="25" spans="1:8" x14ac:dyDescent="0.25">
      <c r="A25" s="64"/>
      <c r="B25" t="s">
        <v>31</v>
      </c>
      <c r="C25" t="s">
        <v>102</v>
      </c>
      <c r="D25">
        <v>89</v>
      </c>
      <c r="E25">
        <v>306</v>
      </c>
      <c r="F25">
        <v>2.0699999999999998</v>
      </c>
      <c r="G25" t="s">
        <v>105</v>
      </c>
      <c r="H25" s="63">
        <v>3.4382022471910112</v>
      </c>
    </row>
    <row r="26" spans="1:8" x14ac:dyDescent="0.25">
      <c r="A26" s="64"/>
      <c r="B26" t="s">
        <v>32</v>
      </c>
      <c r="C26" t="s">
        <v>104</v>
      </c>
      <c r="D26">
        <v>17898</v>
      </c>
      <c r="E26">
        <v>8</v>
      </c>
      <c r="F26">
        <v>9.92</v>
      </c>
      <c r="G26" t="s">
        <v>107</v>
      </c>
      <c r="H26" s="63">
        <v>4.4697731590121804E-4</v>
      </c>
    </row>
    <row r="27" spans="1:8" x14ac:dyDescent="0.25">
      <c r="A27" s="64"/>
      <c r="B27" t="s">
        <v>33</v>
      </c>
      <c r="C27" t="s">
        <v>106</v>
      </c>
      <c r="D27">
        <v>4601</v>
      </c>
      <c r="E27">
        <v>57</v>
      </c>
      <c r="F27">
        <v>1.54</v>
      </c>
      <c r="G27" t="s">
        <v>109</v>
      </c>
      <c r="H27" s="63">
        <v>1.2388611171484459E-2</v>
      </c>
    </row>
    <row r="28" spans="1:8" x14ac:dyDescent="0.25">
      <c r="A28" s="64"/>
      <c r="B28" t="s">
        <v>34</v>
      </c>
      <c r="C28" t="s">
        <v>108</v>
      </c>
      <c r="D28">
        <v>988</v>
      </c>
      <c r="E28">
        <v>13</v>
      </c>
      <c r="F28">
        <v>9.98</v>
      </c>
      <c r="G28" t="s">
        <v>111</v>
      </c>
      <c r="H28" s="63">
        <v>1.3157894736842105E-2</v>
      </c>
    </row>
    <row r="29" spans="1:8" x14ac:dyDescent="0.25">
      <c r="A29" s="64"/>
      <c r="B29" t="s">
        <v>35</v>
      </c>
      <c r="C29" t="s">
        <v>110</v>
      </c>
      <c r="D29">
        <v>990</v>
      </c>
      <c r="E29">
        <v>9</v>
      </c>
      <c r="F29">
        <v>10</v>
      </c>
      <c r="G29" t="s">
        <v>113</v>
      </c>
      <c r="H29" s="63">
        <v>9.0909090909090905E-3</v>
      </c>
    </row>
    <row r="30" spans="1:8" x14ac:dyDescent="0.25">
      <c r="A30" s="64"/>
      <c r="B30" t="s">
        <v>36</v>
      </c>
      <c r="C30" t="s">
        <v>112</v>
      </c>
      <c r="D30">
        <v>1182</v>
      </c>
      <c r="E30">
        <v>5</v>
      </c>
      <c r="F30">
        <v>7.82</v>
      </c>
      <c r="G30" t="s">
        <v>115</v>
      </c>
      <c r="H30" s="63">
        <v>4.2301184433164128E-3</v>
      </c>
    </row>
    <row r="31" spans="1:8" x14ac:dyDescent="0.25">
      <c r="A31" s="64"/>
      <c r="B31" t="s">
        <v>37</v>
      </c>
      <c r="C31" t="s">
        <v>114</v>
      </c>
      <c r="D31">
        <v>1182</v>
      </c>
      <c r="E31">
        <v>5</v>
      </c>
      <c r="F31">
        <v>5.64</v>
      </c>
      <c r="G31" t="s">
        <v>117</v>
      </c>
      <c r="H31" s="63">
        <v>4.2301184433164128E-3</v>
      </c>
    </row>
    <row r="32" spans="1:8" x14ac:dyDescent="0.25">
      <c r="A32" s="64"/>
      <c r="B32" t="s">
        <v>38</v>
      </c>
      <c r="C32" t="s">
        <v>116</v>
      </c>
      <c r="D32">
        <v>1182</v>
      </c>
      <c r="E32">
        <v>5</v>
      </c>
      <c r="F32">
        <v>1.62</v>
      </c>
      <c r="G32" t="s">
        <v>119</v>
      </c>
      <c r="H32" s="63">
        <v>4.2301184433164128E-3</v>
      </c>
    </row>
    <row r="33" spans="1:8" x14ac:dyDescent="0.25">
      <c r="A33" s="64"/>
      <c r="B33" t="s">
        <v>39</v>
      </c>
      <c r="C33" t="s">
        <v>118</v>
      </c>
      <c r="D33">
        <v>1622</v>
      </c>
      <c r="E33">
        <v>9</v>
      </c>
      <c r="F33">
        <v>49.69</v>
      </c>
      <c r="G33" t="s">
        <v>121</v>
      </c>
      <c r="H33" s="63">
        <v>5.5487053020961772E-3</v>
      </c>
    </row>
    <row r="34" spans="1:8" x14ac:dyDescent="0.25">
      <c r="A34" s="64"/>
      <c r="B34" t="s">
        <v>40</v>
      </c>
      <c r="C34" t="s">
        <v>120</v>
      </c>
      <c r="D34">
        <v>581</v>
      </c>
      <c r="E34">
        <v>9</v>
      </c>
      <c r="F34">
        <v>40.5</v>
      </c>
      <c r="G34" t="s">
        <v>123</v>
      </c>
      <c r="H34" s="63">
        <v>1.549053356282272E-2</v>
      </c>
    </row>
    <row r="35" spans="1:8" x14ac:dyDescent="0.25">
      <c r="A35" s="64"/>
      <c r="B35" t="s">
        <v>41</v>
      </c>
      <c r="C35" t="s">
        <v>122</v>
      </c>
      <c r="D35">
        <v>502</v>
      </c>
      <c r="E35">
        <v>9</v>
      </c>
      <c r="F35">
        <v>32.47</v>
      </c>
      <c r="G35" t="s">
        <v>125</v>
      </c>
      <c r="H35" s="63">
        <v>1.7928286852589643E-2</v>
      </c>
    </row>
    <row r="36" spans="1:8" x14ac:dyDescent="0.25">
      <c r="A36" s="64"/>
      <c r="B36" t="s">
        <v>42</v>
      </c>
      <c r="C36" t="s">
        <v>124</v>
      </c>
      <c r="D36">
        <v>4174</v>
      </c>
      <c r="E36">
        <v>9</v>
      </c>
      <c r="F36">
        <v>129.44</v>
      </c>
      <c r="G36" t="s">
        <v>127</v>
      </c>
      <c r="H36" s="63">
        <v>2.1562050790608529E-3</v>
      </c>
    </row>
    <row r="37" spans="1:8" x14ac:dyDescent="0.25">
      <c r="A37" s="64"/>
      <c r="B37" t="s">
        <v>43</v>
      </c>
      <c r="C37" t="s">
        <v>126</v>
      </c>
      <c r="D37">
        <v>731</v>
      </c>
      <c r="E37">
        <v>9</v>
      </c>
      <c r="F37">
        <v>16.399999999999999</v>
      </c>
      <c r="G37" t="s">
        <v>129</v>
      </c>
      <c r="H37" s="63">
        <v>1.2311901504787962E-2</v>
      </c>
    </row>
    <row r="38" spans="1:8" x14ac:dyDescent="0.25">
      <c r="A38" s="64"/>
      <c r="B38" t="s">
        <v>44</v>
      </c>
      <c r="C38" t="s">
        <v>128</v>
      </c>
      <c r="D38">
        <v>214</v>
      </c>
      <c r="E38">
        <v>9</v>
      </c>
      <c r="F38">
        <v>3.2</v>
      </c>
      <c r="G38" t="s">
        <v>131</v>
      </c>
      <c r="H38" s="63">
        <v>4.2056074766355138E-2</v>
      </c>
    </row>
    <row r="39" spans="1:8" x14ac:dyDescent="0.25">
      <c r="A39" s="64"/>
      <c r="B39" t="s">
        <v>45</v>
      </c>
      <c r="C39" t="s">
        <v>130</v>
      </c>
      <c r="D39">
        <v>214</v>
      </c>
      <c r="E39">
        <v>9</v>
      </c>
      <c r="F39">
        <v>2.06</v>
      </c>
      <c r="G39" t="s">
        <v>133</v>
      </c>
      <c r="H39" s="63">
        <v>4.2056074766355138E-2</v>
      </c>
    </row>
    <row r="40" spans="1:8" x14ac:dyDescent="0.25">
      <c r="A40" s="64"/>
      <c r="B40" t="s">
        <v>46</v>
      </c>
      <c r="C40" t="s">
        <v>132</v>
      </c>
      <c r="D40">
        <v>214</v>
      </c>
      <c r="E40">
        <v>9</v>
      </c>
      <c r="F40">
        <v>1.82</v>
      </c>
      <c r="G40" t="s">
        <v>135</v>
      </c>
      <c r="H40" s="63">
        <v>4.2056074766355138E-2</v>
      </c>
    </row>
    <row r="41" spans="1:8" x14ac:dyDescent="0.25">
      <c r="A41" s="64"/>
      <c r="B41" t="s">
        <v>47</v>
      </c>
      <c r="C41" t="s">
        <v>134</v>
      </c>
      <c r="D41">
        <v>214</v>
      </c>
      <c r="E41">
        <v>9</v>
      </c>
      <c r="F41">
        <v>11.59</v>
      </c>
      <c r="G41" t="s">
        <v>137</v>
      </c>
      <c r="H41" s="63">
        <v>4.2056074766355138E-2</v>
      </c>
    </row>
    <row r="42" spans="1:8" x14ac:dyDescent="0.25">
      <c r="A42" s="64"/>
      <c r="B42" t="s">
        <v>48</v>
      </c>
      <c r="C42" t="s">
        <v>136</v>
      </c>
      <c r="D42">
        <v>214</v>
      </c>
      <c r="E42">
        <v>9</v>
      </c>
      <c r="F42">
        <v>15.46</v>
      </c>
      <c r="G42" t="s">
        <v>139</v>
      </c>
      <c r="H42" s="63">
        <v>4.2056074766355138E-2</v>
      </c>
    </row>
    <row r="43" spans="1:8" x14ac:dyDescent="0.25">
      <c r="A43" s="64"/>
      <c r="B43" t="s">
        <v>49</v>
      </c>
      <c r="C43" t="s">
        <v>138</v>
      </c>
      <c r="D43">
        <v>947</v>
      </c>
      <c r="E43">
        <v>8</v>
      </c>
      <c r="F43">
        <v>30.57</v>
      </c>
      <c r="G43" t="s">
        <v>141</v>
      </c>
      <c r="H43" s="63">
        <v>8.4477296726504746E-3</v>
      </c>
    </row>
    <row r="44" spans="1:8" x14ac:dyDescent="0.25">
      <c r="A44" s="64"/>
      <c r="B44" t="s">
        <v>50</v>
      </c>
      <c r="C44" t="s">
        <v>140</v>
      </c>
      <c r="D44">
        <v>693</v>
      </c>
      <c r="E44">
        <v>8</v>
      </c>
      <c r="F44">
        <v>22.1</v>
      </c>
      <c r="G44" t="s">
        <v>143</v>
      </c>
      <c r="H44" s="63">
        <v>1.1544011544011544E-2</v>
      </c>
    </row>
    <row r="45" spans="1:8" x14ac:dyDescent="0.25">
      <c r="A45" s="64"/>
      <c r="B45" t="s">
        <v>51</v>
      </c>
      <c r="C45" t="s">
        <v>142</v>
      </c>
      <c r="D45">
        <v>506</v>
      </c>
      <c r="E45">
        <v>8</v>
      </c>
      <c r="F45">
        <v>9.1199999999999992</v>
      </c>
      <c r="G45" t="s">
        <v>145</v>
      </c>
      <c r="H45" s="63">
        <v>1.5810276679841896E-2</v>
      </c>
    </row>
    <row r="46" spans="1:8" x14ac:dyDescent="0.25">
      <c r="A46" s="64"/>
      <c r="B46" t="s">
        <v>52</v>
      </c>
      <c r="C46" t="s">
        <v>144</v>
      </c>
      <c r="D46">
        <v>1484</v>
      </c>
      <c r="E46">
        <v>8</v>
      </c>
      <c r="F46">
        <v>28.1</v>
      </c>
      <c r="G46" t="s">
        <v>147</v>
      </c>
      <c r="H46" s="63">
        <v>5.3908355795148251E-3</v>
      </c>
    </row>
    <row r="47" spans="1:8" x14ac:dyDescent="0.25">
      <c r="A47" s="64"/>
      <c r="B47" t="s">
        <v>53</v>
      </c>
      <c r="C47" t="s">
        <v>146</v>
      </c>
      <c r="D47">
        <v>1484</v>
      </c>
      <c r="E47">
        <v>8</v>
      </c>
      <c r="F47">
        <v>32.729999999999997</v>
      </c>
      <c r="G47" t="s">
        <v>149</v>
      </c>
      <c r="H47" s="63">
        <v>5.3908355795148251E-3</v>
      </c>
    </row>
    <row r="48" spans="1:8" x14ac:dyDescent="0.25">
      <c r="A48" s="64"/>
      <c r="B48" t="s">
        <v>54</v>
      </c>
      <c r="C48" t="s">
        <v>148</v>
      </c>
      <c r="D48">
        <v>1484</v>
      </c>
      <c r="E48">
        <v>8</v>
      </c>
      <c r="F48">
        <v>41.4</v>
      </c>
      <c r="G48" t="s">
        <v>151</v>
      </c>
      <c r="H48" s="63">
        <v>5.3908355795148251E-3</v>
      </c>
    </row>
    <row r="49" spans="1:8" x14ac:dyDescent="0.25">
      <c r="A49" s="64"/>
      <c r="B49" t="s">
        <v>55</v>
      </c>
      <c r="C49" t="s">
        <v>150</v>
      </c>
      <c r="D49">
        <v>443</v>
      </c>
      <c r="E49">
        <v>7</v>
      </c>
      <c r="F49">
        <v>10.97</v>
      </c>
      <c r="G49" t="s">
        <v>153</v>
      </c>
      <c r="H49" s="63">
        <v>1.580135440180587E-2</v>
      </c>
    </row>
    <row r="50" spans="1:8" x14ac:dyDescent="0.25">
      <c r="A50" s="64"/>
      <c r="B50" t="s">
        <v>56</v>
      </c>
      <c r="C50" t="s">
        <v>152</v>
      </c>
      <c r="D50">
        <v>1728</v>
      </c>
      <c r="E50">
        <v>15</v>
      </c>
      <c r="F50">
        <v>25.58</v>
      </c>
      <c r="G50" t="s">
        <v>155</v>
      </c>
      <c r="H50" s="63">
        <v>8.6805555555555559E-3</v>
      </c>
    </row>
    <row r="51" spans="1:8" x14ac:dyDescent="0.25">
      <c r="A51" s="64"/>
      <c r="B51" t="s">
        <v>57</v>
      </c>
      <c r="C51" t="s">
        <v>154</v>
      </c>
      <c r="D51">
        <v>2225</v>
      </c>
      <c r="E51">
        <v>40</v>
      </c>
      <c r="F51">
        <v>100.14</v>
      </c>
      <c r="G51" t="s">
        <v>157</v>
      </c>
      <c r="H51" s="63">
        <v>1.7977528089887642E-2</v>
      </c>
    </row>
    <row r="52" spans="1:8" x14ac:dyDescent="0.25">
      <c r="A52" s="64"/>
      <c r="B52" t="s">
        <v>58</v>
      </c>
      <c r="C52" t="s">
        <v>156</v>
      </c>
      <c r="D52">
        <v>2935</v>
      </c>
      <c r="E52">
        <v>20</v>
      </c>
      <c r="F52">
        <v>35.229999999999997</v>
      </c>
      <c r="G52" t="s">
        <v>159</v>
      </c>
      <c r="H52" s="63">
        <v>6.8143100511073255E-3</v>
      </c>
    </row>
    <row r="53" spans="1:8" x14ac:dyDescent="0.25">
      <c r="A53" s="64"/>
      <c r="B53" t="s">
        <v>59</v>
      </c>
      <c r="C53" t="s">
        <v>158</v>
      </c>
      <c r="D53">
        <v>2901</v>
      </c>
      <c r="E53">
        <v>20</v>
      </c>
      <c r="F53">
        <v>26.63</v>
      </c>
      <c r="G53" t="s">
        <v>161</v>
      </c>
      <c r="H53" s="63">
        <v>6.894174422612892E-3</v>
      </c>
    </row>
    <row r="54" spans="1:8" x14ac:dyDescent="0.25">
      <c r="A54" s="64"/>
      <c r="B54" t="s">
        <v>60</v>
      </c>
      <c r="C54" t="s">
        <v>160</v>
      </c>
      <c r="D54">
        <v>2193</v>
      </c>
      <c r="E54">
        <v>20</v>
      </c>
      <c r="F54">
        <v>80.22</v>
      </c>
      <c r="G54" t="s">
        <v>163</v>
      </c>
      <c r="H54" s="63">
        <v>9.1199270405836752E-3</v>
      </c>
    </row>
    <row r="55" spans="1:8" x14ac:dyDescent="0.25">
      <c r="A55" s="64"/>
      <c r="B55" t="s">
        <v>61</v>
      </c>
      <c r="C55" t="s">
        <v>162</v>
      </c>
      <c r="D55">
        <v>1485</v>
      </c>
      <c r="E55">
        <v>10</v>
      </c>
      <c r="F55">
        <v>58.4</v>
      </c>
      <c r="G55" t="s">
        <v>165</v>
      </c>
      <c r="H55" s="63">
        <v>6.7340067340067337E-3</v>
      </c>
    </row>
    <row r="56" spans="1:8" x14ac:dyDescent="0.25">
      <c r="A56" s="64"/>
      <c r="B56" t="s">
        <v>62</v>
      </c>
      <c r="C56" t="s">
        <v>164</v>
      </c>
      <c r="D56">
        <v>1477</v>
      </c>
      <c r="E56">
        <v>10</v>
      </c>
      <c r="F56">
        <v>85.88</v>
      </c>
      <c r="G56" t="s">
        <v>167</v>
      </c>
      <c r="H56" s="63">
        <v>6.7704807041299936E-3</v>
      </c>
    </row>
    <row r="57" spans="1:8" x14ac:dyDescent="0.25">
      <c r="A57" s="64"/>
      <c r="B57" t="s">
        <v>63</v>
      </c>
      <c r="C57" t="s">
        <v>166</v>
      </c>
      <c r="D57">
        <v>1599</v>
      </c>
      <c r="E57">
        <v>11</v>
      </c>
      <c r="F57">
        <v>29.17</v>
      </c>
      <c r="G57" t="s">
        <v>168</v>
      </c>
      <c r="H57" s="63">
        <v>6.8792995622263915E-3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AUC dataset</vt:lpstr>
      <vt:lpstr>BACC dataset</vt:lpstr>
      <vt:lpstr>GMEAN dataset</vt:lpstr>
      <vt:lpstr>Runtime dataset</vt:lpstr>
      <vt:lpstr>Total Classifier rank table</vt:lpstr>
      <vt:lpstr>statistical tests</vt:lpstr>
      <vt:lpstr>Dataset 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Fatih Sağlam</dc:creator>
  <cp:lastModifiedBy>Fatih Sağlam</cp:lastModifiedBy>
  <dcterms:created xsi:type="dcterms:W3CDTF">2015-06-05T18:17:20Z</dcterms:created>
  <dcterms:modified xsi:type="dcterms:W3CDTF">2025-10-20T19:17:25Z</dcterms:modified>
</cp:coreProperties>
</file>